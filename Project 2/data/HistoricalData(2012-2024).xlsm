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Data\Project\USYD\Teaching\FMAT3888\2025-2024 S2 FMAT3888\Assignment 2\"/>
    </mc:Choice>
  </mc:AlternateContent>
  <xr:revisionPtr revIDLastSave="0" documentId="13_ncr:1_{55A54637-2985-4C96-99F8-421967282686}" xr6:coauthVersionLast="47" xr6:coauthVersionMax="47" xr10:uidLastSave="{00000000-0000-0000-0000-000000000000}"/>
  <bookViews>
    <workbookView xWindow="-110" yWindow="-110" windowWidth="38620" windowHeight="21100" xr2:uid="{C4F8F28B-C2E6-4410-A559-58784E4700D9}"/>
  </bookViews>
  <sheets>
    <sheet name="Historical Returns" sheetId="2" r:id="rId1"/>
    <sheet name="Sheet1" sheetId="1" r:id="rId2"/>
  </sheets>
  <externalReferences>
    <externalReference r:id="rId3"/>
  </externalReferences>
  <definedNames>
    <definedName name="_xleta.INDEX" hidden="1" xlm="1">#NAME?</definedName>
    <definedName name="ASFGrowthWeight">'[1]APRA SRP'!$C$13</definedName>
    <definedName name="AssetClasses">'Historical Returns'!$C$4:$L$4</definedName>
    <definedName name="CorrelMat8">'[1]Portfolio Optimisation'!$O$4:$V$11</definedName>
    <definedName name="HistoryDates">'Historical Returns'!$B$5:$B$149</definedName>
    <definedName name="ReturnFromData">'Historical Returns'!$B$1</definedName>
    <definedName name="Returns8">'[1]Portfolio Optimisation'!$F$4:$F$11</definedName>
    <definedName name="ReturnToData">'Historical Returns'!$B$2</definedName>
    <definedName name="VolMat8">'[1]Portfolio Optimisation'!$Y$4:$AF$11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" i="2" l="1"/>
  <c r="C2" i="2" l="1"/>
  <c r="C1" i="2"/>
  <c r="O5" i="2" l="1"/>
  <c r="O8" i="2" s="1"/>
  <c r="O4" i="2"/>
  <c r="P4" i="2"/>
  <c r="Q4" i="2"/>
  <c r="R4" i="2"/>
  <c r="S4" i="2"/>
  <c r="T4" i="2"/>
  <c r="U4" i="2"/>
  <c r="V4" i="2"/>
  <c r="W4" i="2"/>
  <c r="AA4" i="2"/>
  <c r="AB4" i="2"/>
  <c r="AC4" i="2"/>
  <c r="AD4" i="2"/>
  <c r="AE4" i="2"/>
  <c r="AF4" i="2"/>
  <c r="AG4" i="2"/>
  <c r="AH4" i="2"/>
  <c r="AI4" i="2"/>
  <c r="Z5" i="2"/>
  <c r="AB5" i="2"/>
  <c r="AD5" i="2"/>
  <c r="AE5" i="2"/>
  <c r="AH5" i="2"/>
  <c r="AI5" i="2"/>
  <c r="A6" i="2"/>
  <c r="O6" i="2"/>
  <c r="O9" i="2" s="1"/>
  <c r="P6" i="2"/>
  <c r="P9" i="2" s="1"/>
  <c r="Z6" i="2"/>
  <c r="AA6" i="2"/>
  <c r="AB6" i="2"/>
  <c r="AH6" i="2"/>
  <c r="AI6" i="2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Z7" i="2"/>
  <c r="AP7" i="2"/>
  <c r="Z8" i="2"/>
  <c r="AP8" i="2"/>
  <c r="Z9" i="2"/>
  <c r="AP9" i="2"/>
  <c r="P10" i="2"/>
  <c r="Q10" i="2" s="1"/>
  <c r="Z10" i="2"/>
  <c r="AP10" i="2"/>
  <c r="Z11" i="2"/>
  <c r="AP11" i="2"/>
  <c r="Z12" i="2"/>
  <c r="AP12" i="2"/>
  <c r="Z13" i="2"/>
  <c r="AP13" i="2"/>
  <c r="Z14" i="2"/>
  <c r="AP14" i="2"/>
  <c r="Z15" i="2"/>
  <c r="AP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P5" i="2" l="1"/>
  <c r="P8" i="2" s="1"/>
  <c r="AB7" i="2"/>
  <c r="AA7" i="2"/>
  <c r="AA8" i="2" s="1"/>
  <c r="AA9" i="2" s="1"/>
  <c r="AA10" i="2" s="1"/>
  <c r="AA11" i="2" s="1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AA24" i="2" s="1"/>
  <c r="AA25" i="2" s="1"/>
  <c r="AA26" i="2" s="1"/>
  <c r="AA27" i="2" s="1"/>
  <c r="AA28" i="2" s="1"/>
  <c r="AA29" i="2" s="1"/>
  <c r="AA30" i="2" s="1"/>
  <c r="AA31" i="2" s="1"/>
  <c r="AA32" i="2" s="1"/>
  <c r="AA33" i="2" s="1"/>
  <c r="AA34" i="2" s="1"/>
  <c r="AA35" i="2" s="1"/>
  <c r="AA36" i="2" s="1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AA50" i="2" s="1"/>
  <c r="AA51" i="2" s="1"/>
  <c r="AA52" i="2" s="1"/>
  <c r="AA53" i="2" s="1"/>
  <c r="AA54" i="2" s="1"/>
  <c r="AA55" i="2" s="1"/>
  <c r="AA56" i="2" s="1"/>
  <c r="AA57" i="2" s="1"/>
  <c r="AA58" i="2" s="1"/>
  <c r="AA59" i="2" s="1"/>
  <c r="AA60" i="2" s="1"/>
  <c r="AA61" i="2" s="1"/>
  <c r="AA62" i="2" s="1"/>
  <c r="AA63" i="2" s="1"/>
  <c r="AA64" i="2" s="1"/>
  <c r="AA65" i="2" s="1"/>
  <c r="AA66" i="2" s="1"/>
  <c r="AA67" i="2" s="1"/>
  <c r="AA68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AA99" i="2" s="1"/>
  <c r="AA100" i="2" s="1"/>
  <c r="AA101" i="2" s="1"/>
  <c r="AA102" i="2" s="1"/>
  <c r="AA103" i="2" s="1"/>
  <c r="AA104" i="2" s="1"/>
  <c r="AA105" i="2" s="1"/>
  <c r="AA106" i="2" s="1"/>
  <c r="AA107" i="2" s="1"/>
  <c r="AA108" i="2" s="1"/>
  <c r="AA109" i="2" s="1"/>
  <c r="AA110" i="2" s="1"/>
  <c r="AA111" i="2" s="1"/>
  <c r="AA112" i="2" s="1"/>
  <c r="AA113" i="2" s="1"/>
  <c r="AA114" i="2" s="1"/>
  <c r="AA115" i="2" s="1"/>
  <c r="AA116" i="2" s="1"/>
  <c r="AA117" i="2" s="1"/>
  <c r="AA118" i="2" s="1"/>
  <c r="AA119" i="2" s="1"/>
  <c r="AA120" i="2" s="1"/>
  <c r="AA121" i="2" s="1"/>
  <c r="AA122" i="2" s="1"/>
  <c r="AA123" i="2" s="1"/>
  <c r="AA124" i="2" s="1"/>
  <c r="AA125" i="2" s="1"/>
  <c r="AA126" i="2" s="1"/>
  <c r="AA127" i="2" s="1"/>
  <c r="AA128" i="2" s="1"/>
  <c r="AA129" i="2" s="1"/>
  <c r="AA130" i="2" s="1"/>
  <c r="AA131" i="2" s="1"/>
  <c r="AA132" i="2" s="1"/>
  <c r="AA133" i="2" s="1"/>
  <c r="AA134" i="2" s="1"/>
  <c r="AA135" i="2" s="1"/>
  <c r="AA136" i="2" s="1"/>
  <c r="AA137" i="2" s="1"/>
  <c r="AA138" i="2" s="1"/>
  <c r="AA139" i="2" s="1"/>
  <c r="AA140" i="2" s="1"/>
  <c r="AA141" i="2" s="1"/>
  <c r="AA142" i="2" s="1"/>
  <c r="AA143" i="2" s="1"/>
  <c r="AA144" i="2" s="1"/>
  <c r="AA145" i="2" s="1"/>
  <c r="AA146" i="2" s="1"/>
  <c r="AA147" i="2" s="1"/>
  <c r="AA148" i="2" s="1"/>
  <c r="AA149" i="2" s="1"/>
  <c r="AI7" i="2"/>
  <c r="AH7" i="2"/>
  <c r="AH8" i="2" s="1"/>
  <c r="AH9" i="2" s="1"/>
  <c r="AH10" i="2" s="1"/>
  <c r="AH11" i="2" s="1"/>
  <c r="AH12" i="2" s="1"/>
  <c r="AH13" i="2" s="1"/>
  <c r="AH14" i="2" s="1"/>
  <c r="AH15" i="2" s="1"/>
  <c r="AH16" i="2" s="1"/>
  <c r="AH17" i="2" s="1"/>
  <c r="AH18" i="2" s="1"/>
  <c r="AH19" i="2" s="1"/>
  <c r="AH20" i="2" s="1"/>
  <c r="AH21" i="2" s="1"/>
  <c r="AH22" i="2" s="1"/>
  <c r="AH23" i="2" s="1"/>
  <c r="AH24" i="2" s="1"/>
  <c r="AH25" i="2" s="1"/>
  <c r="AH26" i="2" s="1"/>
  <c r="AH27" i="2" s="1"/>
  <c r="AH28" i="2" s="1"/>
  <c r="AH29" i="2" s="1"/>
  <c r="AH30" i="2" s="1"/>
  <c r="AH31" i="2" s="1"/>
  <c r="AH32" i="2" s="1"/>
  <c r="AH33" i="2" s="1"/>
  <c r="AH34" i="2" s="1"/>
  <c r="AH35" i="2" s="1"/>
  <c r="AH36" i="2" s="1"/>
  <c r="AH37" i="2" s="1"/>
  <c r="AH38" i="2" s="1"/>
  <c r="AH39" i="2" s="1"/>
  <c r="AH40" i="2" s="1"/>
  <c r="AH41" i="2" s="1"/>
  <c r="AH42" i="2" s="1"/>
  <c r="AH43" i="2" s="1"/>
  <c r="AH44" i="2" s="1"/>
  <c r="AH45" i="2" s="1"/>
  <c r="AH46" i="2" s="1"/>
  <c r="AH47" i="2" s="1"/>
  <c r="AH48" i="2" s="1"/>
  <c r="AH49" i="2" s="1"/>
  <c r="AH50" i="2" s="1"/>
  <c r="AH51" i="2" s="1"/>
  <c r="AH52" i="2" s="1"/>
  <c r="AH53" i="2" s="1"/>
  <c r="AH54" i="2" s="1"/>
  <c r="AH55" i="2" s="1"/>
  <c r="AH56" i="2" s="1"/>
  <c r="AH57" i="2" s="1"/>
  <c r="AH58" i="2" s="1"/>
  <c r="AH59" i="2" s="1"/>
  <c r="AH60" i="2" s="1"/>
  <c r="AH61" i="2" s="1"/>
  <c r="AH62" i="2" s="1"/>
  <c r="AH63" i="2" s="1"/>
  <c r="AH64" i="2" s="1"/>
  <c r="AH65" i="2" s="1"/>
  <c r="AH66" i="2" s="1"/>
  <c r="AH67" i="2" s="1"/>
  <c r="AH68" i="2" s="1"/>
  <c r="AH69" i="2" s="1"/>
  <c r="AH70" i="2" s="1"/>
  <c r="AH71" i="2" s="1"/>
  <c r="AH72" i="2" s="1"/>
  <c r="AH73" i="2" s="1"/>
  <c r="AH74" i="2" s="1"/>
  <c r="AH75" i="2" s="1"/>
  <c r="AH76" i="2" s="1"/>
  <c r="AH77" i="2" s="1"/>
  <c r="AH78" i="2" s="1"/>
  <c r="AH79" i="2" s="1"/>
  <c r="AH80" i="2" s="1"/>
  <c r="AH81" i="2" s="1"/>
  <c r="AH82" i="2" s="1"/>
  <c r="AH83" i="2" s="1"/>
  <c r="AH84" i="2" s="1"/>
  <c r="AH85" i="2" s="1"/>
  <c r="AH86" i="2" s="1"/>
  <c r="AH87" i="2" s="1"/>
  <c r="AH88" i="2" s="1"/>
  <c r="AH89" i="2" s="1"/>
  <c r="AH90" i="2" s="1"/>
  <c r="AH91" i="2" s="1"/>
  <c r="AH92" i="2" s="1"/>
  <c r="AH93" i="2" s="1"/>
  <c r="AH94" i="2" s="1"/>
  <c r="AH95" i="2" s="1"/>
  <c r="AH96" i="2" s="1"/>
  <c r="AH97" i="2" s="1"/>
  <c r="AH98" i="2" s="1"/>
  <c r="AH99" i="2" s="1"/>
  <c r="AH100" i="2" s="1"/>
  <c r="AH101" i="2" s="1"/>
  <c r="AH102" i="2" s="1"/>
  <c r="AH103" i="2" s="1"/>
  <c r="AH104" i="2" s="1"/>
  <c r="AH105" i="2" s="1"/>
  <c r="AH106" i="2" s="1"/>
  <c r="AH107" i="2" s="1"/>
  <c r="AH108" i="2" s="1"/>
  <c r="AH109" i="2" s="1"/>
  <c r="AH110" i="2" s="1"/>
  <c r="AH111" i="2" s="1"/>
  <c r="AH112" i="2" s="1"/>
  <c r="AH113" i="2" s="1"/>
  <c r="AH114" i="2" s="1"/>
  <c r="AH115" i="2" s="1"/>
  <c r="AH116" i="2" s="1"/>
  <c r="AH117" i="2" s="1"/>
  <c r="AH118" i="2" s="1"/>
  <c r="AH119" i="2" s="1"/>
  <c r="AH120" i="2" s="1"/>
  <c r="AH121" i="2" s="1"/>
  <c r="AH122" i="2" s="1"/>
  <c r="AH123" i="2" s="1"/>
  <c r="AH124" i="2" s="1"/>
  <c r="AH125" i="2" s="1"/>
  <c r="AH126" i="2" s="1"/>
  <c r="AH127" i="2" s="1"/>
  <c r="AH128" i="2" s="1"/>
  <c r="AH129" i="2" s="1"/>
  <c r="AH130" i="2" s="1"/>
  <c r="AH131" i="2" s="1"/>
  <c r="AH132" i="2" s="1"/>
  <c r="AH133" i="2" s="1"/>
  <c r="AH134" i="2" s="1"/>
  <c r="AH135" i="2" s="1"/>
  <c r="AH136" i="2" s="1"/>
  <c r="AH137" i="2" s="1"/>
  <c r="AH138" i="2" s="1"/>
  <c r="AH139" i="2" s="1"/>
  <c r="AH140" i="2" s="1"/>
  <c r="AH141" i="2" s="1"/>
  <c r="AH142" i="2" s="1"/>
  <c r="AH143" i="2" s="1"/>
  <c r="AH144" i="2" s="1"/>
  <c r="AH145" i="2" s="1"/>
  <c r="AH146" i="2" s="1"/>
  <c r="AH147" i="2" s="1"/>
  <c r="AH148" i="2" s="1"/>
  <c r="AH149" i="2" s="1"/>
  <c r="AE6" i="2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AE59" i="2" s="1"/>
  <c r="AE60" i="2" s="1"/>
  <c r="AE61" i="2" s="1"/>
  <c r="AE62" i="2" s="1"/>
  <c r="AE63" i="2" s="1"/>
  <c r="AE64" i="2" s="1"/>
  <c r="AE65" i="2" s="1"/>
  <c r="AE66" i="2" s="1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04" i="2" s="1"/>
  <c r="AE105" i="2" s="1"/>
  <c r="AE106" i="2" s="1"/>
  <c r="AE107" i="2" s="1"/>
  <c r="AE108" i="2" s="1"/>
  <c r="AE109" i="2" s="1"/>
  <c r="AE110" i="2" s="1"/>
  <c r="AE111" i="2" s="1"/>
  <c r="AE112" i="2" s="1"/>
  <c r="AE113" i="2" s="1"/>
  <c r="AE114" i="2" s="1"/>
  <c r="AE115" i="2" s="1"/>
  <c r="AE116" i="2" s="1"/>
  <c r="AE117" i="2" s="1"/>
  <c r="AE118" i="2" s="1"/>
  <c r="AE119" i="2" s="1"/>
  <c r="AE120" i="2" s="1"/>
  <c r="AE121" i="2" s="1"/>
  <c r="AE122" i="2" s="1"/>
  <c r="AE123" i="2" s="1"/>
  <c r="AE124" i="2" s="1"/>
  <c r="AE125" i="2" s="1"/>
  <c r="AE126" i="2" s="1"/>
  <c r="AE127" i="2" s="1"/>
  <c r="AE128" i="2" s="1"/>
  <c r="AE129" i="2" s="1"/>
  <c r="AE130" i="2" s="1"/>
  <c r="AE131" i="2" s="1"/>
  <c r="AE132" i="2" s="1"/>
  <c r="AE133" i="2" s="1"/>
  <c r="AE134" i="2" s="1"/>
  <c r="AE135" i="2" s="1"/>
  <c r="AE136" i="2" s="1"/>
  <c r="AE137" i="2" s="1"/>
  <c r="AE138" i="2" s="1"/>
  <c r="AE139" i="2" s="1"/>
  <c r="AE140" i="2" s="1"/>
  <c r="AE141" i="2" s="1"/>
  <c r="AE142" i="2" s="1"/>
  <c r="AE143" i="2" s="1"/>
  <c r="AE144" i="2" s="1"/>
  <c r="AE145" i="2" s="1"/>
  <c r="AE146" i="2" s="1"/>
  <c r="AE147" i="2" s="1"/>
  <c r="AE148" i="2" s="1"/>
  <c r="AE149" i="2" s="1"/>
  <c r="AD6" i="2"/>
  <c r="AD7" i="2" s="1"/>
  <c r="AD8" i="2" s="1"/>
  <c r="AD9" i="2" s="1"/>
  <c r="AD10" i="2" s="1"/>
  <c r="AD11" i="2" s="1"/>
  <c r="AD12" i="2" s="1"/>
  <c r="AD13" i="2" s="1"/>
  <c r="AD14" i="2" s="1"/>
  <c r="AD15" i="2" s="1"/>
  <c r="AD16" i="2" s="1"/>
  <c r="AD17" i="2" s="1"/>
  <c r="AD18" i="2" s="1"/>
  <c r="AD19" i="2" s="1"/>
  <c r="AD20" i="2" s="1"/>
  <c r="AD21" i="2" s="1"/>
  <c r="AD22" i="2" s="1"/>
  <c r="AD23" i="2" s="1"/>
  <c r="AD24" i="2" s="1"/>
  <c r="AD25" i="2" s="1"/>
  <c r="AD26" i="2" s="1"/>
  <c r="AD27" i="2" s="1"/>
  <c r="AD28" i="2" s="1"/>
  <c r="AD29" i="2" s="1"/>
  <c r="AD30" i="2" s="1"/>
  <c r="AD31" i="2" s="1"/>
  <c r="AD32" i="2" s="1"/>
  <c r="AD33" i="2" s="1"/>
  <c r="AD34" i="2" s="1"/>
  <c r="AD35" i="2" s="1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AD59" i="2" s="1"/>
  <c r="AD60" i="2" s="1"/>
  <c r="AD61" i="2" s="1"/>
  <c r="AD62" i="2" s="1"/>
  <c r="AD63" i="2" s="1"/>
  <c r="AD64" i="2" s="1"/>
  <c r="AD65" i="2" s="1"/>
  <c r="AD66" i="2" s="1"/>
  <c r="AD67" i="2" s="1"/>
  <c r="AD68" i="2" s="1"/>
  <c r="AD69" i="2" s="1"/>
  <c r="AD70" i="2" s="1"/>
  <c r="AD71" i="2" s="1"/>
  <c r="AD72" i="2" s="1"/>
  <c r="AD73" i="2" s="1"/>
  <c r="AD74" i="2" s="1"/>
  <c r="AD75" i="2" s="1"/>
  <c r="AD76" i="2" s="1"/>
  <c r="AD77" i="2" s="1"/>
  <c r="AD78" i="2" s="1"/>
  <c r="AD79" i="2" s="1"/>
  <c r="AD80" i="2" s="1"/>
  <c r="AD81" i="2" s="1"/>
  <c r="AD82" i="2" s="1"/>
  <c r="AD83" i="2" s="1"/>
  <c r="AD84" i="2" s="1"/>
  <c r="AD85" i="2" s="1"/>
  <c r="AD86" i="2" s="1"/>
  <c r="AD87" i="2" s="1"/>
  <c r="AD88" i="2" s="1"/>
  <c r="AD89" i="2" s="1"/>
  <c r="AD90" i="2" s="1"/>
  <c r="AD91" i="2" s="1"/>
  <c r="AD92" i="2" s="1"/>
  <c r="AD93" i="2" s="1"/>
  <c r="AD94" i="2" s="1"/>
  <c r="AD95" i="2" s="1"/>
  <c r="AD96" i="2" s="1"/>
  <c r="AD97" i="2" s="1"/>
  <c r="AD98" i="2" s="1"/>
  <c r="AD99" i="2" s="1"/>
  <c r="AD100" i="2" s="1"/>
  <c r="AD101" i="2" s="1"/>
  <c r="AD102" i="2" s="1"/>
  <c r="AD103" i="2" s="1"/>
  <c r="AD104" i="2" s="1"/>
  <c r="AD105" i="2" s="1"/>
  <c r="AD106" i="2" s="1"/>
  <c r="AD107" i="2" s="1"/>
  <c r="AD108" i="2" s="1"/>
  <c r="AD109" i="2" s="1"/>
  <c r="AD110" i="2" s="1"/>
  <c r="AD111" i="2" s="1"/>
  <c r="AD112" i="2" s="1"/>
  <c r="AD113" i="2" s="1"/>
  <c r="AD114" i="2" s="1"/>
  <c r="AD115" i="2" s="1"/>
  <c r="AD116" i="2" s="1"/>
  <c r="AD117" i="2" s="1"/>
  <c r="AD118" i="2" s="1"/>
  <c r="AD119" i="2" s="1"/>
  <c r="AD120" i="2" s="1"/>
  <c r="AD121" i="2" s="1"/>
  <c r="AD122" i="2" s="1"/>
  <c r="AD123" i="2" s="1"/>
  <c r="AD124" i="2" s="1"/>
  <c r="AD125" i="2" s="1"/>
  <c r="AD126" i="2" s="1"/>
  <c r="AD127" i="2" s="1"/>
  <c r="AD128" i="2" s="1"/>
  <c r="AD129" i="2" s="1"/>
  <c r="AD130" i="2" s="1"/>
  <c r="AD131" i="2" s="1"/>
  <c r="AD132" i="2" s="1"/>
  <c r="AD133" i="2" s="1"/>
  <c r="AD134" i="2" s="1"/>
  <c r="AD135" i="2" s="1"/>
  <c r="AD136" i="2" s="1"/>
  <c r="AD137" i="2" s="1"/>
  <c r="AD138" i="2" s="1"/>
  <c r="AD139" i="2" s="1"/>
  <c r="AD140" i="2" s="1"/>
  <c r="AD141" i="2" s="1"/>
  <c r="AD142" i="2" s="1"/>
  <c r="AD143" i="2" s="1"/>
  <c r="AD144" i="2" s="1"/>
  <c r="AD145" i="2" s="1"/>
  <c r="AD146" i="2" s="1"/>
  <c r="AD147" i="2" s="1"/>
  <c r="AD148" i="2" s="1"/>
  <c r="AD149" i="2" s="1"/>
  <c r="AB8" i="2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AB36" i="2" s="1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B50" i="2" s="1"/>
  <c r="AB51" i="2" s="1"/>
  <c r="AB52" i="2" s="1"/>
  <c r="AB53" i="2" s="1"/>
  <c r="AB54" i="2" s="1"/>
  <c r="AB55" i="2" s="1"/>
  <c r="AB56" i="2" s="1"/>
  <c r="AB57" i="2" s="1"/>
  <c r="AB58" i="2" s="1"/>
  <c r="AB59" i="2" s="1"/>
  <c r="AB60" i="2" s="1"/>
  <c r="AB61" i="2" s="1"/>
  <c r="AB62" i="2" s="1"/>
  <c r="AB63" i="2" s="1"/>
  <c r="AB64" i="2" s="1"/>
  <c r="AB65" i="2" s="1"/>
  <c r="AB66" i="2" s="1"/>
  <c r="AB67" i="2" s="1"/>
  <c r="AB68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B96" i="2" s="1"/>
  <c r="AB97" i="2" s="1"/>
  <c r="AB98" i="2" s="1"/>
  <c r="AB99" i="2" s="1"/>
  <c r="AB100" i="2" s="1"/>
  <c r="AB101" i="2" s="1"/>
  <c r="AB102" i="2" s="1"/>
  <c r="AB103" i="2" s="1"/>
  <c r="AB104" i="2" s="1"/>
  <c r="AB105" i="2" s="1"/>
  <c r="AB106" i="2" s="1"/>
  <c r="AB107" i="2" s="1"/>
  <c r="AB108" i="2" s="1"/>
  <c r="AB109" i="2" s="1"/>
  <c r="AB110" i="2" s="1"/>
  <c r="AB111" i="2" s="1"/>
  <c r="AB112" i="2" s="1"/>
  <c r="AB113" i="2" s="1"/>
  <c r="AB114" i="2" s="1"/>
  <c r="AB115" i="2" s="1"/>
  <c r="AB116" i="2" s="1"/>
  <c r="AB117" i="2" s="1"/>
  <c r="AB118" i="2" s="1"/>
  <c r="AB119" i="2" s="1"/>
  <c r="AB120" i="2" s="1"/>
  <c r="AB121" i="2" s="1"/>
  <c r="AB122" i="2" s="1"/>
  <c r="AB123" i="2" s="1"/>
  <c r="AB124" i="2" s="1"/>
  <c r="AB125" i="2" s="1"/>
  <c r="AB126" i="2" s="1"/>
  <c r="AB127" i="2" s="1"/>
  <c r="AB128" i="2" s="1"/>
  <c r="AB129" i="2" s="1"/>
  <c r="AB130" i="2" s="1"/>
  <c r="AB131" i="2" s="1"/>
  <c r="AB132" i="2" s="1"/>
  <c r="AB133" i="2" s="1"/>
  <c r="AB134" i="2" s="1"/>
  <c r="AB135" i="2" s="1"/>
  <c r="AB136" i="2" s="1"/>
  <c r="AB137" i="2" s="1"/>
  <c r="AB138" i="2" s="1"/>
  <c r="AB139" i="2" s="1"/>
  <c r="AB140" i="2" s="1"/>
  <c r="AB141" i="2" s="1"/>
  <c r="AB142" i="2" s="1"/>
  <c r="AB143" i="2" s="1"/>
  <c r="AB144" i="2" s="1"/>
  <c r="AB145" i="2" s="1"/>
  <c r="AB146" i="2" s="1"/>
  <c r="AB147" i="2" s="1"/>
  <c r="AB148" i="2" s="1"/>
  <c r="AB149" i="2" s="1"/>
  <c r="AI8" i="2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I24" i="2" s="1"/>
  <c r="AI25" i="2" s="1"/>
  <c r="AI26" i="2" s="1"/>
  <c r="AI27" i="2" s="1"/>
  <c r="AI28" i="2" s="1"/>
  <c r="AI29" i="2" s="1"/>
  <c r="AI30" i="2" s="1"/>
  <c r="AI31" i="2" s="1"/>
  <c r="AI32" i="2" s="1"/>
  <c r="AI33" i="2" s="1"/>
  <c r="AI34" i="2" s="1"/>
  <c r="AI35" i="2" s="1"/>
  <c r="AI36" i="2" s="1"/>
  <c r="AI37" i="2" s="1"/>
  <c r="AI38" i="2" s="1"/>
  <c r="AI39" i="2" s="1"/>
  <c r="AI40" i="2" s="1"/>
  <c r="AI41" i="2" s="1"/>
  <c r="AI42" i="2" s="1"/>
  <c r="AI43" i="2" s="1"/>
  <c r="AI44" i="2" s="1"/>
  <c r="AI45" i="2" s="1"/>
  <c r="AI46" i="2" s="1"/>
  <c r="AI47" i="2" s="1"/>
  <c r="AI48" i="2" s="1"/>
  <c r="AI49" i="2" s="1"/>
  <c r="AI50" i="2" s="1"/>
  <c r="AI51" i="2" s="1"/>
  <c r="AI52" i="2" s="1"/>
  <c r="AI53" i="2" s="1"/>
  <c r="AI54" i="2" s="1"/>
  <c r="AI55" i="2" s="1"/>
  <c r="AI56" i="2" s="1"/>
  <c r="AI57" i="2" s="1"/>
  <c r="AI58" i="2" s="1"/>
  <c r="AI59" i="2" s="1"/>
  <c r="AI60" i="2" s="1"/>
  <c r="AI61" i="2" s="1"/>
  <c r="AI62" i="2" s="1"/>
  <c r="AI63" i="2" s="1"/>
  <c r="AI64" i="2" s="1"/>
  <c r="AI65" i="2" s="1"/>
  <c r="AI66" i="2" s="1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I103" i="2" s="1"/>
  <c r="AI104" i="2" s="1"/>
  <c r="AI105" i="2" s="1"/>
  <c r="AI106" i="2" s="1"/>
  <c r="AI107" i="2" s="1"/>
  <c r="AI108" i="2" s="1"/>
  <c r="AI109" i="2" s="1"/>
  <c r="AI110" i="2" s="1"/>
  <c r="AI111" i="2" s="1"/>
  <c r="AI112" i="2" s="1"/>
  <c r="AI113" i="2" s="1"/>
  <c r="AI114" i="2" s="1"/>
  <c r="AI115" i="2" s="1"/>
  <c r="AI116" i="2" s="1"/>
  <c r="AI117" i="2" s="1"/>
  <c r="AI118" i="2" s="1"/>
  <c r="AI119" i="2" s="1"/>
  <c r="AI120" i="2" s="1"/>
  <c r="AI121" i="2" s="1"/>
  <c r="AI122" i="2" s="1"/>
  <c r="AI123" i="2" s="1"/>
  <c r="AI124" i="2" s="1"/>
  <c r="AI125" i="2" s="1"/>
  <c r="AI126" i="2" s="1"/>
  <c r="AI127" i="2" s="1"/>
  <c r="AI128" i="2" s="1"/>
  <c r="AI129" i="2" s="1"/>
  <c r="AI130" i="2" s="1"/>
  <c r="AI131" i="2" s="1"/>
  <c r="AI132" i="2" s="1"/>
  <c r="AI133" i="2" s="1"/>
  <c r="AI134" i="2" s="1"/>
  <c r="AI135" i="2" s="1"/>
  <c r="AI136" i="2" s="1"/>
  <c r="AI137" i="2" s="1"/>
  <c r="AI138" i="2" s="1"/>
  <c r="AI139" i="2" s="1"/>
  <c r="AI140" i="2" s="1"/>
  <c r="AI141" i="2" s="1"/>
  <c r="AI142" i="2" s="1"/>
  <c r="AI143" i="2" s="1"/>
  <c r="AI144" i="2" s="1"/>
  <c r="AI145" i="2" s="1"/>
  <c r="AI146" i="2" s="1"/>
  <c r="AI147" i="2" s="1"/>
  <c r="AI148" i="2" s="1"/>
  <c r="AI149" i="2" s="1"/>
  <c r="AC5" i="2"/>
  <c r="AC6" i="2" s="1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C149" i="2" s="1"/>
  <c r="AF5" i="2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  <c r="AF123" i="2" s="1"/>
  <c r="AF124" i="2" s="1"/>
  <c r="AF125" i="2" s="1"/>
  <c r="AF126" i="2" s="1"/>
  <c r="AF127" i="2" s="1"/>
  <c r="AF128" i="2" s="1"/>
  <c r="AF129" i="2" s="1"/>
  <c r="AF130" i="2" s="1"/>
  <c r="AF131" i="2" s="1"/>
  <c r="AF132" i="2" s="1"/>
  <c r="AF133" i="2" s="1"/>
  <c r="AF134" i="2" s="1"/>
  <c r="AF135" i="2" s="1"/>
  <c r="AF136" i="2" s="1"/>
  <c r="AF137" i="2" s="1"/>
  <c r="AF138" i="2" s="1"/>
  <c r="AF139" i="2" s="1"/>
  <c r="AF140" i="2" s="1"/>
  <c r="AF141" i="2" s="1"/>
  <c r="AF142" i="2" s="1"/>
  <c r="AF143" i="2" s="1"/>
  <c r="AF144" i="2" s="1"/>
  <c r="AF145" i="2" s="1"/>
  <c r="AF146" i="2" s="1"/>
  <c r="AF147" i="2" s="1"/>
  <c r="AF148" i="2" s="1"/>
  <c r="AF149" i="2" s="1"/>
  <c r="AG5" i="2"/>
  <c r="AG6" i="2" s="1"/>
  <c r="AG7" i="2" s="1"/>
  <c r="AG8" i="2" s="1"/>
  <c r="AG9" i="2" s="1"/>
  <c r="AG10" i="2" s="1"/>
  <c r="AG11" i="2" s="1"/>
  <c r="AG12" i="2" s="1"/>
  <c r="AG13" i="2" s="1"/>
  <c r="AG14" i="2" s="1"/>
  <c r="AG15" i="2" s="1"/>
  <c r="AG16" i="2" s="1"/>
  <c r="AG17" i="2" s="1"/>
  <c r="AG18" i="2" s="1"/>
  <c r="AG19" i="2" s="1"/>
  <c r="AG20" i="2" s="1"/>
  <c r="AG21" i="2" s="1"/>
  <c r="AG22" i="2" s="1"/>
  <c r="AG23" i="2" s="1"/>
  <c r="AG24" i="2" s="1"/>
  <c r="AG25" i="2" s="1"/>
  <c r="AG26" i="2" s="1"/>
  <c r="AG27" i="2" s="1"/>
  <c r="AG28" i="2" s="1"/>
  <c r="AG29" i="2" s="1"/>
  <c r="AG30" i="2" s="1"/>
  <c r="AG31" i="2" s="1"/>
  <c r="AG32" i="2" s="1"/>
  <c r="AG33" i="2" s="1"/>
  <c r="AG34" i="2" s="1"/>
  <c r="AG35" i="2" s="1"/>
  <c r="AG36" i="2" s="1"/>
  <c r="AG37" i="2" s="1"/>
  <c r="AG38" i="2" s="1"/>
  <c r="AG39" i="2" s="1"/>
  <c r="AG40" i="2" s="1"/>
  <c r="AG41" i="2" s="1"/>
  <c r="AG42" i="2" s="1"/>
  <c r="AG43" i="2" s="1"/>
  <c r="AG44" i="2" s="1"/>
  <c r="AG45" i="2" s="1"/>
  <c r="AG46" i="2" s="1"/>
  <c r="AG47" i="2" s="1"/>
  <c r="AG48" i="2" s="1"/>
  <c r="AG49" i="2" s="1"/>
  <c r="AG50" i="2" s="1"/>
  <c r="AG51" i="2" s="1"/>
  <c r="AG52" i="2" s="1"/>
  <c r="AG53" i="2" s="1"/>
  <c r="AG54" i="2" s="1"/>
  <c r="AG55" i="2" s="1"/>
  <c r="AG56" i="2" s="1"/>
  <c r="AG57" i="2" s="1"/>
  <c r="AG58" i="2" s="1"/>
  <c r="AG59" i="2" s="1"/>
  <c r="AG60" i="2" s="1"/>
  <c r="AG61" i="2" s="1"/>
  <c r="AG62" i="2" s="1"/>
  <c r="AG63" i="2" s="1"/>
  <c r="AG64" i="2" s="1"/>
  <c r="AG65" i="2" s="1"/>
  <c r="AG66" i="2" s="1"/>
  <c r="AG67" i="2" s="1"/>
  <c r="AG68" i="2" s="1"/>
  <c r="AG69" i="2" s="1"/>
  <c r="AG70" i="2" s="1"/>
  <c r="AG71" i="2" s="1"/>
  <c r="AG72" i="2" s="1"/>
  <c r="AG73" i="2" s="1"/>
  <c r="AG74" i="2" s="1"/>
  <c r="AG75" i="2" s="1"/>
  <c r="AG76" i="2" s="1"/>
  <c r="AG77" i="2" s="1"/>
  <c r="AG78" i="2" s="1"/>
  <c r="AG79" i="2" s="1"/>
  <c r="AG80" i="2" s="1"/>
  <c r="AG81" i="2" s="1"/>
  <c r="AG82" i="2" s="1"/>
  <c r="AG83" i="2" s="1"/>
  <c r="AG84" i="2" s="1"/>
  <c r="AG85" i="2" s="1"/>
  <c r="AG86" i="2" s="1"/>
  <c r="AG87" i="2" s="1"/>
  <c r="AG88" i="2" s="1"/>
  <c r="AG89" i="2" s="1"/>
  <c r="AG90" i="2" s="1"/>
  <c r="AG91" i="2" s="1"/>
  <c r="AG92" i="2" s="1"/>
  <c r="AG93" i="2" s="1"/>
  <c r="AG94" i="2" s="1"/>
  <c r="AG95" i="2" s="1"/>
  <c r="AG96" i="2" s="1"/>
  <c r="AG97" i="2" s="1"/>
  <c r="AG98" i="2" s="1"/>
  <c r="AG99" i="2" s="1"/>
  <c r="AG100" i="2" s="1"/>
  <c r="AG101" i="2" s="1"/>
  <c r="AG102" i="2" s="1"/>
  <c r="AG103" i="2" s="1"/>
  <c r="AG104" i="2" s="1"/>
  <c r="AG105" i="2" s="1"/>
  <c r="AG106" i="2" s="1"/>
  <c r="AG107" i="2" s="1"/>
  <c r="AG108" i="2" s="1"/>
  <c r="AG109" i="2" s="1"/>
  <c r="AG110" i="2" s="1"/>
  <c r="AG111" i="2" s="1"/>
  <c r="AG112" i="2" s="1"/>
  <c r="AG113" i="2" s="1"/>
  <c r="AG114" i="2" s="1"/>
  <c r="AG115" i="2" s="1"/>
  <c r="AG116" i="2" s="1"/>
  <c r="AG117" i="2" s="1"/>
  <c r="AG118" i="2" s="1"/>
  <c r="AG119" i="2" s="1"/>
  <c r="AG120" i="2" s="1"/>
  <c r="AG121" i="2" s="1"/>
  <c r="AG122" i="2" s="1"/>
  <c r="AG123" i="2" s="1"/>
  <c r="AG124" i="2" s="1"/>
  <c r="AG125" i="2" s="1"/>
  <c r="AG126" i="2" s="1"/>
  <c r="AG127" i="2" s="1"/>
  <c r="AG128" i="2" s="1"/>
  <c r="AG129" i="2" s="1"/>
  <c r="AG130" i="2" s="1"/>
  <c r="AG131" i="2" s="1"/>
  <c r="AG132" i="2" s="1"/>
  <c r="AG133" i="2" s="1"/>
  <c r="AG134" i="2" s="1"/>
  <c r="AG135" i="2" s="1"/>
  <c r="AG136" i="2" s="1"/>
  <c r="AG137" i="2" s="1"/>
  <c r="AG138" i="2" s="1"/>
  <c r="AG139" i="2" s="1"/>
  <c r="AG140" i="2" s="1"/>
  <c r="AG141" i="2" s="1"/>
  <c r="AG142" i="2" s="1"/>
  <c r="AG143" i="2" s="1"/>
  <c r="AG144" i="2" s="1"/>
  <c r="AG145" i="2" s="1"/>
  <c r="AG146" i="2" s="1"/>
  <c r="AG147" i="2" s="1"/>
  <c r="AG148" i="2" s="1"/>
  <c r="AG149" i="2" s="1"/>
  <c r="Q5" i="2"/>
  <c r="Q8" i="2" s="1"/>
  <c r="Q6" i="2"/>
  <c r="Q9" i="2" s="1"/>
  <c r="R10" i="2"/>
  <c r="R5" i="2" l="1"/>
  <c r="R8" i="2" s="1"/>
  <c r="R6" i="2"/>
  <c r="R9" i="2" s="1"/>
  <c r="S10" i="2"/>
  <c r="S6" i="2" l="1"/>
  <c r="S9" i="2" s="1"/>
  <c r="S5" i="2"/>
  <c r="S8" i="2" s="1"/>
  <c r="T10" i="2"/>
  <c r="T5" i="2" l="1"/>
  <c r="T8" i="2" s="1"/>
  <c r="U10" i="2"/>
  <c r="T6" i="2"/>
  <c r="T9" i="2" s="1"/>
  <c r="U5" i="2" l="1"/>
  <c r="U8" i="2" s="1"/>
  <c r="V10" i="2"/>
  <c r="U6" i="2"/>
  <c r="U9" i="2" s="1"/>
  <c r="V6" i="2" l="1"/>
  <c r="V9" i="2" s="1"/>
  <c r="V5" i="2"/>
  <c r="V8" i="2" s="1"/>
  <c r="W10" i="2"/>
  <c r="W6" i="2" l="1"/>
  <c r="W9" i="2" s="1"/>
  <c r="W5" i="2"/>
  <c r="W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</author>
    <author>Igor Geninson</author>
  </authors>
  <commentList>
    <comment ref="B3" authorId="0" shapeId="0" xr:uid="{1BC6FD62-E50F-44CA-995D-6CAABE7A1777}">
      <text>
        <r>
          <rPr>
            <b/>
            <sz val="9"/>
            <color indexed="81"/>
            <rFont val="Tahoma"/>
            <family val="2"/>
          </rPr>
          <t>All returns are before fees. Some returns are before taxes. Refer to indices or Cost and Fees Worksheet.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" authorId="1" shapeId="0" xr:uid="{86FBEA37-F344-46A0-95BA-8E97E88AED26}">
      <text>
        <r>
          <rPr>
            <b/>
            <sz val="9"/>
            <color indexed="81"/>
            <rFont val="Tahoma"/>
            <family val="2"/>
          </rPr>
          <t>S&amp;P/ASX 300 Total Return Index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E2AA5B0A-B396-4AA4-9845-9A80B1DEB5AD}">
      <text>
        <r>
          <rPr>
            <b/>
            <sz val="9"/>
            <color indexed="81"/>
            <rFont val="Tahoma"/>
            <family val="2"/>
          </rPr>
          <t>MSCI All Country World  Ex-Australia with Special Tax (100% hedged to AUD)</t>
        </r>
        <r>
          <rPr>
            <sz val="9"/>
            <color indexed="81"/>
            <rFont val="Tahoma"/>
            <family val="2"/>
          </rPr>
          <t xml:space="preserve">
This asset class is not avaialbe for Abercrombe super</t>
        </r>
      </text>
    </comment>
    <comment ref="E4" authorId="1" shapeId="0" xr:uid="{1F703E76-CFF9-46E0-A76F-F673B56BAE8D}">
      <text>
        <r>
          <rPr>
            <b/>
            <sz val="9"/>
            <color indexed="81"/>
            <rFont val="Tahoma"/>
            <family val="2"/>
          </rPr>
          <t>MSCI All Country World  Ex-Australia with Special Tax (unhedged to AUD)</t>
        </r>
      </text>
    </comment>
    <comment ref="F4" authorId="1" shapeId="0" xr:uid="{1D1779CD-A4E1-4CD9-848A-92905633D000}">
      <text>
        <r>
          <rPr>
            <b/>
            <sz val="9"/>
            <color indexed="81"/>
            <rFont val="Tahoma"/>
            <family val="2"/>
          </rPr>
          <t>S&amp;P/ASX 300 A-REIT Index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" authorId="1" shapeId="0" xr:uid="{5EF0F3AD-AD30-42B9-8154-909529D522DD}">
      <text>
        <r>
          <rPr>
            <b/>
            <sz val="9"/>
            <color indexed="81"/>
            <rFont val="Tahoma"/>
            <family val="2"/>
          </rPr>
          <t xml:space="preserve">FTSE RPRA Naeit Developed ex Aus Rental 100% Hedged to AUD Net Tax (Super) Index
</t>
        </r>
      </text>
    </comment>
    <comment ref="H4" authorId="1" shapeId="0" xr:uid="{A4E2BF0B-9FA7-4D8E-B9F4-8A1A082DB812}">
      <text>
        <r>
          <rPr>
            <b/>
            <sz val="9"/>
            <color indexed="81"/>
            <rFont val="Tahoma"/>
            <family val="2"/>
          </rPr>
          <t>FTSE Developed Core Infrastructure 100% Hedged to AUD Net Tax (Super) Index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" authorId="1" shapeId="0" xr:uid="{1476B325-FA5C-4DE2-9427-B207A472CC1E}">
      <text>
        <r>
          <rPr>
            <b/>
            <sz val="9"/>
            <color indexed="81"/>
            <rFont val="Tahoma"/>
            <family val="2"/>
          </rPr>
          <t>Bloomberg Ausbond Composite 0+ Index</t>
        </r>
      </text>
    </comment>
    <comment ref="J4" authorId="1" shapeId="0" xr:uid="{AF18DEB5-2526-4527-8A6B-85E6B1BFA365}">
      <text>
        <r>
          <rPr>
            <b/>
            <sz val="9"/>
            <color indexed="81"/>
            <rFont val="Tahoma"/>
            <family val="2"/>
          </rPr>
          <t>Bloomberg Barclays Global Aggregate Index (hedged to AUD)</t>
        </r>
      </text>
    </comment>
    <comment ref="K4" authorId="1" shapeId="0" xr:uid="{25A7B3B9-43C9-469E-9A53-C529193A5615}">
      <text>
        <r>
          <rPr>
            <b/>
            <sz val="9"/>
            <color indexed="81"/>
            <rFont val="Tahoma"/>
            <family val="2"/>
          </rPr>
          <t xml:space="preserve">Bloomberg Ausbond Bank Bill Index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<sst xmlns="http://schemas.openxmlformats.org/spreadsheetml/2006/main" count="66" uniqueCount="57">
  <si>
    <t>0 = Defensive</t>
  </si>
  <si>
    <t>1 = Growth</t>
  </si>
  <si>
    <t>BAUBIL</t>
  </si>
  <si>
    <t>Bloomberg AusBond Bank Bill Index</t>
  </si>
  <si>
    <t>Cash</t>
  </si>
  <si>
    <t>LGTRTRAH</t>
  </si>
  <si>
    <t>Bloomberg Barclays Global Aggregate Index (hedged to AUD)</t>
  </si>
  <si>
    <t>IFI</t>
  </si>
  <si>
    <t>BACM0</t>
  </si>
  <si>
    <t>Bloomberg AusBond Composite 0+ Yr Index</t>
  </si>
  <si>
    <t>AFI</t>
  </si>
  <si>
    <t>HEDGNAV</t>
  </si>
  <si>
    <t>FTSE Developed Core Infrastructure 100% Hedged to AUD Net Tax (Super) Index</t>
  </si>
  <si>
    <t>ILI</t>
  </si>
  <si>
    <t>FDCIISAH</t>
  </si>
  <si>
    <t>FTSE EPRA Nareit Developed ex Aus Rental 100% Hedged to AUD Net Tax (Super) Index</t>
  </si>
  <si>
    <t>ILP</t>
  </si>
  <si>
    <t>RDAU</t>
  </si>
  <si>
    <t>S&amp;P/ASX 300 A-REIT Index</t>
  </si>
  <si>
    <t>ALP</t>
  </si>
  <si>
    <t>ID #</t>
  </si>
  <si>
    <t>NDLEEGF</t>
  </si>
  <si>
    <t>MSCI All Country World Ex-Australia with Special Tax (unhedged to AUD)</t>
  </si>
  <si>
    <t>ILE</t>
  </si>
  <si>
    <t>AnnStDev</t>
  </si>
  <si>
    <t>NDDLWI</t>
  </si>
  <si>
    <t>MSCI All Country World Ex-Australia with Special Tax (100% hedged to AUD)</t>
  </si>
  <si>
    <t>AnnMean</t>
  </si>
  <si>
    <t>ASA52</t>
  </si>
  <si>
    <t>S&amp;P/ASX Total Return 300 Index</t>
  </si>
  <si>
    <t>AEQ</t>
  </si>
  <si>
    <t>Bloomberg Ticker</t>
  </si>
  <si>
    <t>Total Return Index Name</t>
  </si>
  <si>
    <t>Asset Class</t>
  </si>
  <si>
    <t xml:space="preserve">Growth/Def </t>
  </si>
  <si>
    <t>Code</t>
  </si>
  <si>
    <t>StDev</t>
  </si>
  <si>
    <t xml:space="preserve">Mean </t>
  </si>
  <si>
    <t>Date</t>
  </si>
  <si>
    <t>Cash [D]</t>
  </si>
  <si>
    <t>Int'l Fixed Income (Hedged) [D]</t>
  </si>
  <si>
    <t>Australian Fixed Income [D]</t>
  </si>
  <si>
    <t>Int'l Listed Infrastructure [G]</t>
  </si>
  <si>
    <t>Int'l Listed Property [G]</t>
  </si>
  <si>
    <t>Australian Listed Property [G]</t>
  </si>
  <si>
    <t>Int'l Listed Equity (Unhedged) [G]</t>
  </si>
  <si>
    <t>Int'l Listed Equity (Hedged) [G]</t>
  </si>
  <si>
    <t>Australian Listed Equity [G]</t>
  </si>
  <si>
    <t>DATE</t>
  </si>
  <si>
    <t>Accumlated value of initial $100 investment (before taxes and investment fees) from asset classes.</t>
  </si>
  <si>
    <t>Summary statistics and accumulation value plots</t>
  </si>
  <si>
    <t>Monthly Total Returns from asset classes</t>
  </si>
  <si>
    <t>To</t>
  </si>
  <si>
    <t>From</t>
  </si>
  <si>
    <t>ILE(UH)</t>
  </si>
  <si>
    <t>Frequency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</si>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</sst>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%"/>
    <numFmt numFmtId="166" formatCode="0.000%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201F1E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1" xfId="0" applyBorder="1" applyAlignment="1">
      <alignment vertical="top"/>
    </xf>
    <xf numFmtId="0" fontId="0" fillId="0" borderId="1" xfId="0" applyBorder="1"/>
    <xf numFmtId="0" fontId="0" fillId="0" borderId="2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3" xfId="0" applyFont="1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3" xfId="0" applyBorder="1" applyAlignment="1">
      <alignment vertical="top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/>
    <xf numFmtId="10" fontId="0" fillId="0" borderId="2" xfId="1" applyNumberFormat="1" applyFont="1" applyFill="1" applyBorder="1" applyAlignment="1">
      <alignment horizontal="center"/>
    </xf>
    <xf numFmtId="10" fontId="0" fillId="0" borderId="9" xfId="1" applyNumberFormat="1" applyFont="1" applyFill="1" applyBorder="1" applyAlignment="1">
      <alignment horizontal="center"/>
    </xf>
    <xf numFmtId="0" fontId="0" fillId="0" borderId="10" xfId="0" applyBorder="1"/>
    <xf numFmtId="10" fontId="0" fillId="0" borderId="4" xfId="1" applyNumberFormat="1" applyFont="1" applyFill="1" applyBorder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 applyAlignment="1">
      <alignment vertical="top"/>
    </xf>
    <xf numFmtId="0" fontId="0" fillId="0" borderId="12" xfId="0" applyBorder="1"/>
    <xf numFmtId="0" fontId="0" fillId="0" borderId="13" xfId="0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4" xfId="0" applyBorder="1"/>
    <xf numFmtId="0" fontId="2" fillId="0" borderId="0" xfId="0" applyFont="1"/>
    <xf numFmtId="0" fontId="2" fillId="0" borderId="0" xfId="0" applyFont="1" applyAlignment="1">
      <alignment horizontal="center" wrapText="1"/>
    </xf>
    <xf numFmtId="166" fontId="0" fillId="0" borderId="4" xfId="1" applyNumberFormat="1" applyFont="1" applyFill="1" applyBorder="1" applyAlignment="1">
      <alignment horizontal="center"/>
    </xf>
    <xf numFmtId="166" fontId="0" fillId="0" borderId="0" xfId="1" applyNumberFormat="1" applyFont="1" applyFill="1" applyBorder="1" applyAlignment="1">
      <alignment horizontal="center"/>
    </xf>
    <xf numFmtId="165" fontId="0" fillId="0" borderId="4" xfId="1" applyNumberFormat="1" applyFont="1" applyFill="1" applyBorder="1" applyAlignment="1">
      <alignment horizontal="center"/>
    </xf>
    <xf numFmtId="165" fontId="0" fillId="0" borderId="0" xfId="1" applyNumberFormat="1" applyFont="1" applyFill="1" applyBorder="1" applyAlignment="1">
      <alignment horizontal="center"/>
    </xf>
    <xf numFmtId="0" fontId="0" fillId="0" borderId="0" xfId="0" applyAlignment="1">
      <alignment textRotation="90" wrapText="1"/>
    </xf>
    <xf numFmtId="0" fontId="0" fillId="0" borderId="9" xfId="0" applyBorder="1" applyAlignment="1">
      <alignment horizontal="center" textRotation="90" wrapText="1"/>
    </xf>
    <xf numFmtId="0" fontId="0" fillId="0" borderId="0" xfId="0" applyAlignment="1">
      <alignment horizontal="center" textRotation="90" wrapText="1"/>
    </xf>
    <xf numFmtId="0" fontId="0" fillId="0" borderId="5" xfId="0" applyBorder="1" applyAlignment="1">
      <alignment horizontal="center" textRotation="90" wrapText="1"/>
    </xf>
    <xf numFmtId="0" fontId="0" fillId="0" borderId="6" xfId="0" applyBorder="1" applyAlignment="1">
      <alignment horizontal="center" textRotation="90" wrapText="1"/>
    </xf>
    <xf numFmtId="0" fontId="0" fillId="0" borderId="7" xfId="0" applyBorder="1" applyAlignment="1">
      <alignment horizontal="center" textRotation="90" wrapText="1"/>
    </xf>
    <xf numFmtId="0" fontId="0" fillId="0" borderId="6" xfId="0" applyBorder="1" applyAlignment="1">
      <alignment textRotation="90" wrapText="1"/>
    </xf>
    <xf numFmtId="14" fontId="0" fillId="4" borderId="14" xfId="0" applyNumberFormat="1" applyFill="1" applyBorder="1"/>
    <xf numFmtId="14" fontId="0" fillId="4" borderId="15" xfId="0" applyNumberFormat="1" applyFill="1" applyBorder="1"/>
    <xf numFmtId="0" fontId="0" fillId="5" borderId="6" xfId="0" applyFill="1" applyBorder="1" applyAlignment="1">
      <alignment horizontal="center" textRotation="90" wrapText="1"/>
    </xf>
    <xf numFmtId="14" fontId="2" fillId="3" borderId="7" xfId="0" applyNumberFormat="1" applyFont="1" applyFill="1" applyBorder="1" applyAlignment="1">
      <alignment horizontal="center" vertical="center" wrapText="1"/>
    </xf>
    <xf numFmtId="14" fontId="2" fillId="3" borderId="6" xfId="0" applyNumberFormat="1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14" fontId="2" fillId="0" borderId="7" xfId="0" applyNumberFormat="1" applyFont="1" applyBorder="1" applyAlignment="1">
      <alignment horizontal="center" vertical="center" wrapText="1"/>
    </xf>
    <xf numFmtId="14" fontId="2" fillId="0" borderId="6" xfId="0" applyNumberFormat="1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</a:t>
            </a:r>
          </a:p>
        </c:rich>
      </c:tx>
      <c:layout>
        <c:manualLayout>
          <c:xMode val="edge"/>
          <c:yMode val="edge"/>
          <c:x val="0.44618284203257735"/>
          <c:y val="3.854025886611827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06489238131432E-2"/>
          <c:y val="5.3641515809623869E-2"/>
          <c:w val="0.9453169123585935"/>
          <c:h val="0.74196522849290447"/>
        </c:manualLayout>
      </c:layout>
      <c:lineChart>
        <c:grouping val="standard"/>
        <c:varyColors val="0"/>
        <c:ser>
          <c:idx val="0"/>
          <c:order val="0"/>
          <c:tx>
            <c:strRef>
              <c:f>'Historical Returns'!$AA$4</c:f>
              <c:strCache>
                <c:ptCount val="1"/>
                <c:pt idx="0">
                  <c:v>Australian Listed Equity [G]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Returns'!$AA$5:$AA$204</c:f>
              <c:numCache>
                <c:formatCode>General</c:formatCode>
                <c:ptCount val="200"/>
                <c:pt idx="0">
                  <c:v>105.13190128116329</c:v>
                </c:pt>
                <c:pt idx="1">
                  <c:v>107.27185383356027</c:v>
                </c:pt>
                <c:pt idx="2">
                  <c:v>108.57778426389424</c:v>
                </c:pt>
                <c:pt idx="3">
                  <c:v>109.99269661844011</c:v>
                </c:pt>
                <c:pt idx="4">
                  <c:v>102.58208828608456</c:v>
                </c:pt>
                <c:pt idx="5">
                  <c:v>103.13145079220726</c:v>
                </c:pt>
                <c:pt idx="6">
                  <c:v>107.46228780133762</c:v>
                </c:pt>
                <c:pt idx="7">
                  <c:v>109.75864387872943</c:v>
                </c:pt>
                <c:pt idx="8">
                  <c:v>112.15293092470172</c:v>
                </c:pt>
                <c:pt idx="9">
                  <c:v>115.42596396023347</c:v>
                </c:pt>
                <c:pt idx="10">
                  <c:v>115.87817556523201</c:v>
                </c:pt>
                <c:pt idx="11">
                  <c:v>119.74051706121288</c:v>
                </c:pt>
                <c:pt idx="12">
                  <c:v>125.70328769180314</c:v>
                </c:pt>
                <c:pt idx="13">
                  <c:v>132.35495539476779</c:v>
                </c:pt>
                <c:pt idx="14">
                  <c:v>129.37191243612793</c:v>
                </c:pt>
                <c:pt idx="15">
                  <c:v>134.93025059342008</c:v>
                </c:pt>
                <c:pt idx="16">
                  <c:v>128.80763113990284</c:v>
                </c:pt>
                <c:pt idx="17">
                  <c:v>125.71258349565778</c:v>
                </c:pt>
                <c:pt idx="18">
                  <c:v>132.37159683383621</c:v>
                </c:pt>
                <c:pt idx="19">
                  <c:v>135.69803198731611</c:v>
                </c:pt>
                <c:pt idx="20">
                  <c:v>138.63193069620698</c:v>
                </c:pt>
                <c:pt idx="21">
                  <c:v>144.08658488742816</c:v>
                </c:pt>
                <c:pt idx="22">
                  <c:v>142.1305007350511</c:v>
                </c:pt>
                <c:pt idx="23">
                  <c:v>143.30092694765781</c:v>
                </c:pt>
                <c:pt idx="24">
                  <c:v>139.00831324388776</c:v>
                </c:pt>
                <c:pt idx="25">
                  <c:v>145.84251673163436</c:v>
                </c:pt>
                <c:pt idx="26">
                  <c:v>146.14797814641022</c:v>
                </c:pt>
                <c:pt idx="27">
                  <c:v>148.60847341773882</c:v>
                </c:pt>
                <c:pt idx="28">
                  <c:v>149.56730633281515</c:v>
                </c:pt>
                <c:pt idx="29">
                  <c:v>147.40330170051456</c:v>
                </c:pt>
                <c:pt idx="30">
                  <c:v>153.90727663174673</c:v>
                </c:pt>
                <c:pt idx="31">
                  <c:v>154.89591462421714</c:v>
                </c:pt>
                <c:pt idx="32">
                  <c:v>146.58202068023834</c:v>
                </c:pt>
                <c:pt idx="33">
                  <c:v>152.83439135399234</c:v>
                </c:pt>
                <c:pt idx="34">
                  <c:v>147.87904534044583</c:v>
                </c:pt>
                <c:pt idx="35">
                  <c:v>150.89615124467892</c:v>
                </c:pt>
                <c:pt idx="36">
                  <c:v>155.76042438269855</c:v>
                </c:pt>
                <c:pt idx="37">
                  <c:v>166.54251676413725</c:v>
                </c:pt>
                <c:pt idx="38">
                  <c:v>166.4563518130231</c:v>
                </c:pt>
                <c:pt idx="39">
                  <c:v>163.71399216747275</c:v>
                </c:pt>
                <c:pt idx="40">
                  <c:v>164.41585786130864</c:v>
                </c:pt>
                <c:pt idx="41">
                  <c:v>155.67672964519613</c:v>
                </c:pt>
                <c:pt idx="42">
                  <c:v>162.39171282336648</c:v>
                </c:pt>
                <c:pt idx="43">
                  <c:v>149.89122934405759</c:v>
                </c:pt>
                <c:pt idx="44">
                  <c:v>145.60752141041405</c:v>
                </c:pt>
                <c:pt idx="45">
                  <c:v>152.04405300948406</c:v>
                </c:pt>
                <c:pt idx="46">
                  <c:v>151.00763588531328</c:v>
                </c:pt>
                <c:pt idx="47">
                  <c:v>155.12723712783071</c:v>
                </c:pt>
                <c:pt idx="48">
                  <c:v>146.67322356700802</c:v>
                </c:pt>
                <c:pt idx="49">
                  <c:v>144.14352981174054</c:v>
                </c:pt>
                <c:pt idx="50">
                  <c:v>151.02804765042066</c:v>
                </c:pt>
                <c:pt idx="51">
                  <c:v>156.07202882869305</c:v>
                </c:pt>
                <c:pt idx="52">
                  <c:v>160.96695211718443</c:v>
                </c:pt>
                <c:pt idx="53">
                  <c:v>157.03576966818216</c:v>
                </c:pt>
                <c:pt idx="54">
                  <c:v>167.0220307301075</c:v>
                </c:pt>
                <c:pt idx="55">
                  <c:v>164.42174087004187</c:v>
                </c:pt>
                <c:pt idx="56">
                  <c:v>165.26743150113921</c:v>
                </c:pt>
                <c:pt idx="57">
                  <c:v>161.67320569046223</c:v>
                </c:pt>
                <c:pt idx="58">
                  <c:v>166.2080628422344</c:v>
                </c:pt>
                <c:pt idx="59">
                  <c:v>173.4222241868367</c:v>
                </c:pt>
                <c:pt idx="60">
                  <c:v>172.07875301016671</c:v>
                </c:pt>
                <c:pt idx="61">
                  <c:v>175.83546037143577</c:v>
                </c:pt>
                <c:pt idx="62">
                  <c:v>181.59453588749105</c:v>
                </c:pt>
                <c:pt idx="63">
                  <c:v>183.3791677135282</c:v>
                </c:pt>
                <c:pt idx="64">
                  <c:v>178.34880521293096</c:v>
                </c:pt>
                <c:pt idx="65">
                  <c:v>178.74212172497636</c:v>
                </c:pt>
                <c:pt idx="66">
                  <c:v>178.76724639763245</c:v>
                </c:pt>
                <c:pt idx="67">
                  <c:v>180.10684973983146</c:v>
                </c:pt>
                <c:pt idx="68">
                  <c:v>180.17036023190124</c:v>
                </c:pt>
                <c:pt idx="69">
                  <c:v>187.40483583317891</c:v>
                </c:pt>
                <c:pt idx="70">
                  <c:v>190.57844277083885</c:v>
                </c:pt>
                <c:pt idx="71">
                  <c:v>194.12098911253375</c:v>
                </c:pt>
                <c:pt idx="72">
                  <c:v>193.3617559578467</c:v>
                </c:pt>
                <c:pt idx="73">
                  <c:v>194.01558249749675</c:v>
                </c:pt>
                <c:pt idx="74">
                  <c:v>186.78737993868046</c:v>
                </c:pt>
                <c:pt idx="75">
                  <c:v>193.8450727526666</c:v>
                </c:pt>
                <c:pt idx="76">
                  <c:v>196.15836279442294</c:v>
                </c:pt>
                <c:pt idx="77">
                  <c:v>202.41112350190514</c:v>
                </c:pt>
                <c:pt idx="78">
                  <c:v>205.0542195636371</c:v>
                </c:pt>
                <c:pt idx="79">
                  <c:v>207.93169339318652</c:v>
                </c:pt>
                <c:pt idx="80">
                  <c:v>205.44974626680875</c:v>
                </c:pt>
                <c:pt idx="81">
                  <c:v>192.80215506635969</c:v>
                </c:pt>
                <c:pt idx="82">
                  <c:v>188.606367235607</c:v>
                </c:pt>
                <c:pt idx="83">
                  <c:v>188.1789552751577</c:v>
                </c:pt>
                <c:pt idx="84">
                  <c:v>195.45727716804339</c:v>
                </c:pt>
                <c:pt idx="85">
                  <c:v>207.20116022033037</c:v>
                </c:pt>
                <c:pt idx="86">
                  <c:v>208.72021158029671</c:v>
                </c:pt>
                <c:pt idx="87">
                  <c:v>213.85809337862526</c:v>
                </c:pt>
                <c:pt idx="88">
                  <c:v>217.59139871620431</c:v>
                </c:pt>
                <c:pt idx="89">
                  <c:v>225.52006934799718</c:v>
                </c:pt>
                <c:pt idx="90">
                  <c:v>232.21707847186119</c:v>
                </c:pt>
                <c:pt idx="91">
                  <c:v>226.94154727030053</c:v>
                </c:pt>
                <c:pt idx="92">
                  <c:v>231.27137669229984</c:v>
                </c:pt>
                <c:pt idx="93">
                  <c:v>230.39474338543462</c:v>
                </c:pt>
                <c:pt idx="94">
                  <c:v>237.72419219952084</c:v>
                </c:pt>
                <c:pt idx="95">
                  <c:v>232.91075345740558</c:v>
                </c:pt>
                <c:pt idx="96">
                  <c:v>244.29431035048796</c:v>
                </c:pt>
                <c:pt idx="97">
                  <c:v>225.32641760196253</c:v>
                </c:pt>
                <c:pt idx="98">
                  <c:v>178.39284652140324</c:v>
                </c:pt>
                <c:pt idx="99">
                  <c:v>194.48801085073865</c:v>
                </c:pt>
                <c:pt idx="100">
                  <c:v>203.40125662366685</c:v>
                </c:pt>
                <c:pt idx="101">
                  <c:v>208.34967953853842</c:v>
                </c:pt>
                <c:pt idx="102">
                  <c:v>209.60506809826413</c:v>
                </c:pt>
                <c:pt idx="103">
                  <c:v>215.9965508017309</c:v>
                </c:pt>
                <c:pt idx="104">
                  <c:v>208.23195435825346</c:v>
                </c:pt>
                <c:pt idx="105">
                  <c:v>212.16242174542077</c:v>
                </c:pt>
                <c:pt idx="106">
                  <c:v>233.86266327380696</c:v>
                </c:pt>
                <c:pt idx="107">
                  <c:v>236.94880514792553</c:v>
                </c:pt>
                <c:pt idx="108">
                  <c:v>237.73485312142404</c:v>
                </c:pt>
                <c:pt idx="109">
                  <c:v>241.24392156811797</c:v>
                </c:pt>
                <c:pt idx="110">
                  <c:v>246.78376562613289</c:v>
                </c:pt>
                <c:pt idx="111">
                  <c:v>255.90834467410608</c:v>
                </c:pt>
                <c:pt idx="112">
                  <c:v>261.81508045908311</c:v>
                </c:pt>
                <c:pt idx="113">
                  <c:v>267.71551069878808</c:v>
                </c:pt>
                <c:pt idx="114">
                  <c:v>270.67599670681562</c:v>
                </c:pt>
                <c:pt idx="115">
                  <c:v>277.73781737775812</c:v>
                </c:pt>
                <c:pt idx="116">
                  <c:v>272.49699917800427</c:v>
                </c:pt>
                <c:pt idx="117">
                  <c:v>272.76836514437622</c:v>
                </c:pt>
                <c:pt idx="118">
                  <c:v>271.31838225710607</c:v>
                </c:pt>
                <c:pt idx="119">
                  <c:v>278.51014916514947</c:v>
                </c:pt>
                <c:pt idx="120">
                  <c:v>260.53417719297312</c:v>
                </c:pt>
                <c:pt idx="121">
                  <c:v>265.9712473636161</c:v>
                </c:pt>
                <c:pt idx="122">
                  <c:v>284.31606123139534</c:v>
                </c:pt>
                <c:pt idx="123">
                  <c:v>281.93802559076335</c:v>
                </c:pt>
                <c:pt idx="124">
                  <c:v>274.1576652841058</c:v>
                </c:pt>
                <c:pt idx="125">
                  <c:v>249.57569205797105</c:v>
                </c:pt>
                <c:pt idx="126">
                  <c:v>264.43665966014441</c:v>
                </c:pt>
                <c:pt idx="127">
                  <c:v>267.55081895706962</c:v>
                </c:pt>
                <c:pt idx="128">
                  <c:v>250.70929258607663</c:v>
                </c:pt>
                <c:pt idx="129">
                  <c:v>265.66065050475265</c:v>
                </c:pt>
                <c:pt idx="130">
                  <c:v>282.90381410732522</c:v>
                </c:pt>
                <c:pt idx="131">
                  <c:v>273.58785851006496</c:v>
                </c:pt>
                <c:pt idx="132">
                  <c:v>290.78948352058774</c:v>
                </c:pt>
                <c:pt idx="133">
                  <c:v>283.37744506456227</c:v>
                </c:pt>
                <c:pt idx="134">
                  <c:v>282.70840720951372</c:v>
                </c:pt>
                <c:pt idx="135">
                  <c:v>287.9314463718253</c:v>
                </c:pt>
                <c:pt idx="136">
                  <c:v>280.6432436244927</c:v>
                </c:pt>
                <c:pt idx="137">
                  <c:v>285.50293386620638</c:v>
                </c:pt>
                <c:pt idx="138">
                  <c:v>293.76674097892641</c:v>
                </c:pt>
                <c:pt idx="139">
                  <c:v>291.52303945483709</c:v>
                </c:pt>
                <c:pt idx="140">
                  <c:v>282.85139512321348</c:v>
                </c:pt>
                <c:pt idx="141">
                  <c:v>271.67508794770993</c:v>
                </c:pt>
                <c:pt idx="142">
                  <c:v>284.76901216152572</c:v>
                </c:pt>
                <c:pt idx="143">
                  <c:v>303.93652960110586</c:v>
                </c:pt>
                <c:pt idx="144">
                  <c:v>307.24457478928429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110-4CB7-BF12-6B539BE9A0D9}"/>
            </c:ext>
          </c:extLst>
        </c:ser>
        <c:ser>
          <c:idx val="1"/>
          <c:order val="1"/>
          <c:tx>
            <c:strRef>
              <c:f>'Historical Returns'!$AB$4</c:f>
              <c:strCache>
                <c:ptCount val="1"/>
                <c:pt idx="0">
                  <c:v>Int'l Listed Equity (Hedged) [G]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Returns'!$AB$5:$AB$211</c:f>
              <c:numCache>
                <c:formatCode>General</c:formatCode>
                <c:ptCount val="207"/>
                <c:pt idx="0">
                  <c:v>104.94237537725506</c:v>
                </c:pt>
                <c:pt idx="1">
                  <c:v>110.23189000656113</c:v>
                </c:pt>
                <c:pt idx="2">
                  <c:v>112.11596857324683</c:v>
                </c:pt>
                <c:pt idx="3">
                  <c:v>110.79774671122541</c:v>
                </c:pt>
                <c:pt idx="4">
                  <c:v>103.30301025944418</c:v>
                </c:pt>
                <c:pt idx="5">
                  <c:v>107.62838506382087</c:v>
                </c:pt>
                <c:pt idx="6">
                  <c:v>109.19878584101833</c:v>
                </c:pt>
                <c:pt idx="7">
                  <c:v>111.44511210674771</c:v>
                </c:pt>
                <c:pt idx="8">
                  <c:v>114.44753133202957</c:v>
                </c:pt>
                <c:pt idx="9">
                  <c:v>114.13682197762276</c:v>
                </c:pt>
                <c:pt idx="10">
                  <c:v>116.11322775106134</c:v>
                </c:pt>
                <c:pt idx="11">
                  <c:v>118.862807313159</c:v>
                </c:pt>
                <c:pt idx="12">
                  <c:v>124.82577209144402</c:v>
                </c:pt>
                <c:pt idx="13">
                  <c:v>126.35885539904598</c:v>
                </c:pt>
                <c:pt idx="14">
                  <c:v>129.58499206559986</c:v>
                </c:pt>
                <c:pt idx="15">
                  <c:v>132.92511269451759</c:v>
                </c:pt>
                <c:pt idx="16">
                  <c:v>135.51295692327329</c:v>
                </c:pt>
                <c:pt idx="17">
                  <c:v>131.81277793945836</c:v>
                </c:pt>
                <c:pt idx="18">
                  <c:v>137.96243854673708</c:v>
                </c:pt>
                <c:pt idx="19">
                  <c:v>135.5094460831105</c:v>
                </c:pt>
                <c:pt idx="20">
                  <c:v>140.78114024001724</c:v>
                </c:pt>
                <c:pt idx="21">
                  <c:v>146.56000287178838</c:v>
                </c:pt>
                <c:pt idx="22">
                  <c:v>149.84562658289832</c:v>
                </c:pt>
                <c:pt idx="23">
                  <c:v>152.85893335744899</c:v>
                </c:pt>
                <c:pt idx="24">
                  <c:v>147.87289930210218</c:v>
                </c:pt>
                <c:pt idx="25">
                  <c:v>153.92641614323756</c:v>
                </c:pt>
                <c:pt idx="26">
                  <c:v>154.77476727616892</c:v>
                </c:pt>
                <c:pt idx="27">
                  <c:v>156.00544495806375</c:v>
                </c:pt>
                <c:pt idx="28">
                  <c:v>160.00116567782939</c:v>
                </c:pt>
                <c:pt idx="29">
                  <c:v>162.80618890114948</c:v>
                </c:pt>
                <c:pt idx="30">
                  <c:v>162.32370478844086</c:v>
                </c:pt>
                <c:pt idx="31">
                  <c:v>166.91070621831929</c:v>
                </c:pt>
                <c:pt idx="32">
                  <c:v>165.04914239346408</c:v>
                </c:pt>
                <c:pt idx="33">
                  <c:v>167.16078454654399</c:v>
                </c:pt>
                <c:pt idx="34">
                  <c:v>172.43092052158073</c:v>
                </c:pt>
                <c:pt idx="35">
                  <c:v>170.97810330410499</c:v>
                </c:pt>
                <c:pt idx="36">
                  <c:v>170.44173371204391</c:v>
                </c:pt>
                <c:pt idx="37">
                  <c:v>180.21983776565406</c:v>
                </c:pt>
                <c:pt idx="38">
                  <c:v>179.89463140270993</c:v>
                </c:pt>
                <c:pt idx="39">
                  <c:v>183.08861824080685</c:v>
                </c:pt>
                <c:pt idx="40">
                  <c:v>185.03150338021925</c:v>
                </c:pt>
                <c:pt idx="41">
                  <c:v>180.0872443780454</c:v>
                </c:pt>
                <c:pt idx="42">
                  <c:v>183.63582607258397</c:v>
                </c:pt>
                <c:pt idx="43">
                  <c:v>171.43184980941373</c:v>
                </c:pt>
                <c:pt idx="44">
                  <c:v>165.86167506720656</c:v>
                </c:pt>
                <c:pt idx="45">
                  <c:v>178.69195168492232</c:v>
                </c:pt>
                <c:pt idx="46">
                  <c:v>179.59666363675913</c:v>
                </c:pt>
                <c:pt idx="47">
                  <c:v>176.07900889376694</c:v>
                </c:pt>
                <c:pt idx="48">
                  <c:v>166.66539119289979</c:v>
                </c:pt>
                <c:pt idx="49">
                  <c:v>164.62218083726253</c:v>
                </c:pt>
                <c:pt idx="50">
                  <c:v>173.62684483062824</c:v>
                </c:pt>
                <c:pt idx="51">
                  <c:v>175.10283753794261</c:v>
                </c:pt>
                <c:pt idx="52">
                  <c:v>178.01685459687826</c:v>
                </c:pt>
                <c:pt idx="53">
                  <c:v>176.51314992086324</c:v>
                </c:pt>
                <c:pt idx="54">
                  <c:v>183.77989872409574</c:v>
                </c:pt>
                <c:pt idx="55">
                  <c:v>185.37301148133506</c:v>
                </c:pt>
                <c:pt idx="56">
                  <c:v>185.97058409039127</c:v>
                </c:pt>
                <c:pt idx="57">
                  <c:v>185.1939980806751</c:v>
                </c:pt>
                <c:pt idx="58">
                  <c:v>189.29940296979615</c:v>
                </c:pt>
                <c:pt idx="59">
                  <c:v>194.23455942851427</c:v>
                </c:pt>
                <c:pt idx="60">
                  <c:v>197.50469007811932</c:v>
                </c:pt>
                <c:pt idx="61">
                  <c:v>203.45507105851749</c:v>
                </c:pt>
                <c:pt idx="62">
                  <c:v>205.79266930656883</c:v>
                </c:pt>
                <c:pt idx="63">
                  <c:v>208.67809668676315</c:v>
                </c:pt>
                <c:pt idx="64">
                  <c:v>212.56083935904306</c:v>
                </c:pt>
                <c:pt idx="65">
                  <c:v>213.19060124419852</c:v>
                </c:pt>
                <c:pt idx="66">
                  <c:v>217.20782092900592</c:v>
                </c:pt>
                <c:pt idx="67">
                  <c:v>218.23695074458919</c:v>
                </c:pt>
                <c:pt idx="68">
                  <c:v>223.14432620123262</c:v>
                </c:pt>
                <c:pt idx="69">
                  <c:v>229.41277352132252</c:v>
                </c:pt>
                <c:pt idx="70">
                  <c:v>232.58460064636952</c:v>
                </c:pt>
                <c:pt idx="71">
                  <c:v>235.58707904311478</c:v>
                </c:pt>
                <c:pt idx="72">
                  <c:v>245.42396008371995</c:v>
                </c:pt>
                <c:pt idx="73">
                  <c:v>236.28433584420884</c:v>
                </c:pt>
                <c:pt idx="74">
                  <c:v>231.0981050042985</c:v>
                </c:pt>
                <c:pt idx="75">
                  <c:v>235.44246398652172</c:v>
                </c:pt>
                <c:pt idx="76">
                  <c:v>237.63353396732947</c:v>
                </c:pt>
                <c:pt idx="77">
                  <c:v>237.55319884382922</c:v>
                </c:pt>
                <c:pt idx="78">
                  <c:v>244.7945039177921</c:v>
                </c:pt>
                <c:pt idx="79">
                  <c:v>247.81092705608282</c:v>
                </c:pt>
                <c:pt idx="80">
                  <c:v>249.35156458718112</c:v>
                </c:pt>
                <c:pt idx="81">
                  <c:v>231.94262971592886</c:v>
                </c:pt>
                <c:pt idx="82">
                  <c:v>235.19629097488257</c:v>
                </c:pt>
                <c:pt idx="83">
                  <c:v>217.2007893867698</c:v>
                </c:pt>
                <c:pt idx="84">
                  <c:v>232.6122633055173</c:v>
                </c:pt>
                <c:pt idx="85">
                  <c:v>239.92672403208573</c:v>
                </c:pt>
                <c:pt idx="86">
                  <c:v>243.8578689614414</c:v>
                </c:pt>
                <c:pt idx="87">
                  <c:v>252.91014625903728</c:v>
                </c:pt>
                <c:pt idx="88">
                  <c:v>237.65963844460728</c:v>
                </c:pt>
                <c:pt idx="89">
                  <c:v>251.27854246484475</c:v>
                </c:pt>
                <c:pt idx="90">
                  <c:v>253.46921796922967</c:v>
                </c:pt>
                <c:pt idx="91">
                  <c:v>248.13073895394538</c:v>
                </c:pt>
                <c:pt idx="92">
                  <c:v>253.59867526927724</c:v>
                </c:pt>
                <c:pt idx="93">
                  <c:v>258.59050812803895</c:v>
                </c:pt>
                <c:pt idx="94">
                  <c:v>265.99723688989678</c:v>
                </c:pt>
                <c:pt idx="95">
                  <c:v>273.18659928088937</c:v>
                </c:pt>
                <c:pt idx="96">
                  <c:v>271.05692955528815</c:v>
                </c:pt>
                <c:pt idx="97">
                  <c:v>249.63659352646457</c:v>
                </c:pt>
                <c:pt idx="98">
                  <c:v>216.22779356614885</c:v>
                </c:pt>
                <c:pt idx="99">
                  <c:v>237.42552654959479</c:v>
                </c:pt>
                <c:pt idx="100">
                  <c:v>247.47779171704065</c:v>
                </c:pt>
                <c:pt idx="101">
                  <c:v>254.38104035858711</c:v>
                </c:pt>
                <c:pt idx="102">
                  <c:v>264.18634356154831</c:v>
                </c:pt>
                <c:pt idx="103">
                  <c:v>279.0869507889679</c:v>
                </c:pt>
                <c:pt idx="104">
                  <c:v>271.33148514554676</c:v>
                </c:pt>
                <c:pt idx="105">
                  <c:v>264.31359179362835</c:v>
                </c:pt>
                <c:pt idx="106">
                  <c:v>293.49561633144253</c:v>
                </c:pt>
                <c:pt idx="107">
                  <c:v>304.58450636650463</c:v>
                </c:pt>
                <c:pt idx="108">
                  <c:v>303.97718032789504</c:v>
                </c:pt>
                <c:pt idx="109">
                  <c:v>311.36307087271928</c:v>
                </c:pt>
                <c:pt idx="110">
                  <c:v>322.44098460131738</c:v>
                </c:pt>
                <c:pt idx="111">
                  <c:v>334.36486288048894</c:v>
                </c:pt>
                <c:pt idx="112">
                  <c:v>337.86432239848017</c:v>
                </c:pt>
                <c:pt idx="113">
                  <c:v>345.29103139115205</c:v>
                </c:pt>
                <c:pt idx="114">
                  <c:v>347.75414217502305</c:v>
                </c:pt>
                <c:pt idx="115">
                  <c:v>356.90037389461577</c:v>
                </c:pt>
                <c:pt idx="116">
                  <c:v>343.90199114933006</c:v>
                </c:pt>
                <c:pt idx="117">
                  <c:v>360.62314651554573</c:v>
                </c:pt>
                <c:pt idx="118">
                  <c:v>354.16852604772231</c:v>
                </c:pt>
                <c:pt idx="119">
                  <c:v>367.17224408662622</c:v>
                </c:pt>
                <c:pt idx="120">
                  <c:v>349.90502487025952</c:v>
                </c:pt>
                <c:pt idx="121">
                  <c:v>340.52043077219884</c:v>
                </c:pt>
                <c:pt idx="122">
                  <c:v>348.09289880308989</c:v>
                </c:pt>
                <c:pt idx="123">
                  <c:v>323.67184965951299</c:v>
                </c:pt>
                <c:pt idx="124">
                  <c:v>323.08289636029468</c:v>
                </c:pt>
                <c:pt idx="125">
                  <c:v>298.26017159921668</c:v>
                </c:pt>
                <c:pt idx="126">
                  <c:v>319.22294456334117</c:v>
                </c:pt>
                <c:pt idx="127">
                  <c:v>309.5271085677029</c:v>
                </c:pt>
                <c:pt idx="128">
                  <c:v>281.64472605239695</c:v>
                </c:pt>
                <c:pt idx="129">
                  <c:v>298.82239912079137</c:v>
                </c:pt>
                <c:pt idx="130">
                  <c:v>316.94316669695962</c:v>
                </c:pt>
                <c:pt idx="131">
                  <c:v>301.59724489776841</c:v>
                </c:pt>
                <c:pt idx="132">
                  <c:v>320.40854345202217</c:v>
                </c:pt>
                <c:pt idx="133">
                  <c:v>313.99899191550196</c:v>
                </c:pt>
                <c:pt idx="134">
                  <c:v>321.8775736504744</c:v>
                </c:pt>
                <c:pt idx="135">
                  <c:v>326.26622247306585</c:v>
                </c:pt>
                <c:pt idx="136">
                  <c:v>325.33604706813821</c:v>
                </c:pt>
                <c:pt idx="137">
                  <c:v>342.72861116784486</c:v>
                </c:pt>
                <c:pt idx="138">
                  <c:v>353.3673444330455</c:v>
                </c:pt>
                <c:pt idx="139">
                  <c:v>345.7142059736949</c:v>
                </c:pt>
                <c:pt idx="140">
                  <c:v>332.97325462674036</c:v>
                </c:pt>
                <c:pt idx="141">
                  <c:v>323.34666486222665</c:v>
                </c:pt>
                <c:pt idx="142">
                  <c:v>346.72883223840887</c:v>
                </c:pt>
                <c:pt idx="143">
                  <c:v>359.56542706553921</c:v>
                </c:pt>
                <c:pt idx="144">
                  <c:v>363.81620954430804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110-4CB7-BF12-6B539BE9A0D9}"/>
            </c:ext>
          </c:extLst>
        </c:ser>
        <c:ser>
          <c:idx val="2"/>
          <c:order val="2"/>
          <c:tx>
            <c:strRef>
              <c:f>'Historical Returns'!$AC$4</c:f>
              <c:strCache>
                <c:ptCount val="1"/>
                <c:pt idx="0">
                  <c:v>Int'l Listed Equity (Unhedged) [G]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Returns'!$AC$5:$AC$211</c:f>
              <c:numCache>
                <c:formatCode>General</c:formatCode>
                <c:ptCount val="207"/>
                <c:pt idx="0">
                  <c:v>101.99297816916926</c:v>
                </c:pt>
                <c:pt idx="1">
                  <c:v>105.46351166304656</c:v>
                </c:pt>
                <c:pt idx="2">
                  <c:v>110.87137398873043</c:v>
                </c:pt>
                <c:pt idx="3">
                  <c:v>108.98979286681147</c:v>
                </c:pt>
                <c:pt idx="4">
                  <c:v>106.68730522240061</c:v>
                </c:pt>
                <c:pt idx="5">
                  <c:v>105.89599663172474</c:v>
                </c:pt>
                <c:pt idx="6">
                  <c:v>104.37270792016874</c:v>
                </c:pt>
                <c:pt idx="7">
                  <c:v>108.69065185569933</c:v>
                </c:pt>
                <c:pt idx="8">
                  <c:v>111.45300154248122</c:v>
                </c:pt>
                <c:pt idx="9">
                  <c:v>110.91809110082791</c:v>
                </c:pt>
                <c:pt idx="10">
                  <c:v>111.69013835111909</c:v>
                </c:pt>
                <c:pt idx="11">
                  <c:v>114.77985212642051</c:v>
                </c:pt>
                <c:pt idx="12">
                  <c:v>119.48920066421128</c:v>
                </c:pt>
                <c:pt idx="13">
                  <c:v>121.58538144930273</c:v>
                </c:pt>
                <c:pt idx="14">
                  <c:v>121.69977885856393</c:v>
                </c:pt>
                <c:pt idx="15">
                  <c:v>125.67611436396261</c:v>
                </c:pt>
                <c:pt idx="16">
                  <c:v>136.31930344382533</c:v>
                </c:pt>
                <c:pt idx="17">
                  <c:v>138.78937852173638</c:v>
                </c:pt>
                <c:pt idx="18">
                  <c:v>148.43859193502692</c:v>
                </c:pt>
                <c:pt idx="19">
                  <c:v>146.32560912267445</c:v>
                </c:pt>
                <c:pt idx="20">
                  <c:v>146.50795243491675</c:v>
                </c:pt>
                <c:pt idx="21">
                  <c:v>150.42723187584602</c:v>
                </c:pt>
                <c:pt idx="22">
                  <c:v>158.3985149683634</c:v>
                </c:pt>
                <c:pt idx="23">
                  <c:v>164.78279346491644</c:v>
                </c:pt>
                <c:pt idx="24">
                  <c:v>162.29323078981332</c:v>
                </c:pt>
                <c:pt idx="25">
                  <c:v>165.79445651147415</c:v>
                </c:pt>
                <c:pt idx="26">
                  <c:v>160.65867291528943</c:v>
                </c:pt>
                <c:pt idx="27">
                  <c:v>162.23320387509048</c:v>
                </c:pt>
                <c:pt idx="28">
                  <c:v>165.05519682374788</c:v>
                </c:pt>
                <c:pt idx="29">
                  <c:v>165.94855707180403</c:v>
                </c:pt>
                <c:pt idx="30">
                  <c:v>166.25150509963163</c:v>
                </c:pt>
                <c:pt idx="31">
                  <c:v>168.99777087858462</c:v>
                </c:pt>
                <c:pt idx="32">
                  <c:v>175.24470165580627</c:v>
                </c:pt>
                <c:pt idx="33">
                  <c:v>175.48774081594101</c:v>
                </c:pt>
                <c:pt idx="34">
                  <c:v>184.20114623666061</c:v>
                </c:pt>
                <c:pt idx="35">
                  <c:v>188.46460163062289</c:v>
                </c:pt>
                <c:pt idx="36">
                  <c:v>194.9843882802908</c:v>
                </c:pt>
                <c:pt idx="37">
                  <c:v>204.72637682185905</c:v>
                </c:pt>
                <c:pt idx="38">
                  <c:v>206.62799642710979</c:v>
                </c:pt>
                <c:pt idx="39">
                  <c:v>206.07138500645314</c:v>
                </c:pt>
                <c:pt idx="40">
                  <c:v>212.28187860043428</c:v>
                </c:pt>
                <c:pt idx="41">
                  <c:v>206.59143135958684</c:v>
                </c:pt>
                <c:pt idx="42">
                  <c:v>218.20338322787782</c:v>
                </c:pt>
                <c:pt idx="43">
                  <c:v>210.81884306040843</c:v>
                </c:pt>
                <c:pt idx="44">
                  <c:v>205.18855061856627</c:v>
                </c:pt>
                <c:pt idx="45">
                  <c:v>217.93754131646031</c:v>
                </c:pt>
                <c:pt idx="46">
                  <c:v>212.78171923694384</c:v>
                </c:pt>
                <c:pt idx="47">
                  <c:v>207.90265841911403</c:v>
                </c:pt>
                <c:pt idx="48">
                  <c:v>201.09639130229471</c:v>
                </c:pt>
                <c:pt idx="49">
                  <c:v>197.84999960650975</c:v>
                </c:pt>
                <c:pt idx="50">
                  <c:v>197.14993153272252</c:v>
                </c:pt>
                <c:pt idx="51">
                  <c:v>201.64407049768613</c:v>
                </c:pt>
                <c:pt idx="52">
                  <c:v>212.89322449397159</c:v>
                </c:pt>
                <c:pt idx="53">
                  <c:v>205.8867102653696</c:v>
                </c:pt>
                <c:pt idx="54">
                  <c:v>210.22736841691051</c:v>
                </c:pt>
                <c:pt idx="55">
                  <c:v>213.52593689992744</c:v>
                </c:pt>
                <c:pt idx="56">
                  <c:v>210.93146976422062</c:v>
                </c:pt>
                <c:pt idx="57">
                  <c:v>208.56997827934634</c:v>
                </c:pt>
                <c:pt idx="58">
                  <c:v>216.51423843926074</c:v>
                </c:pt>
                <c:pt idx="59">
                  <c:v>225.71566011899122</c:v>
                </c:pt>
                <c:pt idx="60">
                  <c:v>221.12223376459832</c:v>
                </c:pt>
                <c:pt idx="61">
                  <c:v>224.45291103975808</c:v>
                </c:pt>
                <c:pt idx="62">
                  <c:v>228.97871612050227</c:v>
                </c:pt>
                <c:pt idx="63">
                  <c:v>237.39668917430018</c:v>
                </c:pt>
                <c:pt idx="64">
                  <c:v>244.20335961847181</c:v>
                </c:pt>
                <c:pt idx="65">
                  <c:v>237.98843926086801</c:v>
                </c:pt>
                <c:pt idx="66">
                  <c:v>234.99143175307688</c:v>
                </c:pt>
                <c:pt idx="67">
                  <c:v>237.52557685648608</c:v>
                </c:pt>
                <c:pt idx="68">
                  <c:v>244.94400635879981</c:v>
                </c:pt>
                <c:pt idx="69">
                  <c:v>255.932473163975</c:v>
                </c:pt>
                <c:pt idx="70">
                  <c:v>263.64074747379334</c:v>
                </c:pt>
                <c:pt idx="71">
                  <c:v>259.86798407152054</c:v>
                </c:pt>
                <c:pt idx="72">
                  <c:v>265.35374759971018</c:v>
                </c:pt>
                <c:pt idx="73">
                  <c:v>264.16612561777924</c:v>
                </c:pt>
                <c:pt idx="74">
                  <c:v>262.90600308496215</c:v>
                </c:pt>
                <c:pt idx="75">
                  <c:v>269.68749999999977</c:v>
                </c:pt>
                <c:pt idx="76">
                  <c:v>269.40911559165153</c:v>
                </c:pt>
                <c:pt idx="77">
                  <c:v>274.33805127962961</c:v>
                </c:pt>
                <c:pt idx="78">
                  <c:v>280.96373595240323</c:v>
                </c:pt>
                <c:pt idx="79">
                  <c:v>291.30629859602715</c:v>
                </c:pt>
                <c:pt idx="80">
                  <c:v>292.59331617716487</c:v>
                </c:pt>
                <c:pt idx="81">
                  <c:v>276.35442243523136</c:v>
                </c:pt>
                <c:pt idx="82">
                  <c:v>272.25022232190622</c:v>
                </c:pt>
                <c:pt idx="83">
                  <c:v>262.334547250291</c:v>
                </c:pt>
                <c:pt idx="84">
                  <c:v>273.36058252274353</c:v>
                </c:pt>
                <c:pt idx="85">
                  <c:v>287.67680493908756</c:v>
                </c:pt>
                <c:pt idx="86">
                  <c:v>291.87054372461967</c:v>
                </c:pt>
                <c:pt idx="87">
                  <c:v>304.71969732741502</c:v>
                </c:pt>
                <c:pt idx="88">
                  <c:v>290.87686317562225</c:v>
                </c:pt>
                <c:pt idx="89">
                  <c:v>306.12489966002431</c:v>
                </c:pt>
                <c:pt idx="90">
                  <c:v>312.60949845751855</c:v>
                </c:pt>
                <c:pt idx="91">
                  <c:v>312.4189607139482</c:v>
                </c:pt>
                <c:pt idx="92">
                  <c:v>318.70054813170873</c:v>
                </c:pt>
                <c:pt idx="93">
                  <c:v>320.63395189976995</c:v>
                </c:pt>
                <c:pt idx="94">
                  <c:v>334.72288459722324</c:v>
                </c:pt>
                <c:pt idx="95">
                  <c:v>333.61656750716122</c:v>
                </c:pt>
                <c:pt idx="96">
                  <c:v>346.39966395945447</c:v>
                </c:pt>
                <c:pt idx="97">
                  <c:v>330.90254824188594</c:v>
                </c:pt>
                <c:pt idx="98">
                  <c:v>302.43688418799354</c:v>
                </c:pt>
                <c:pt idx="99">
                  <c:v>312.88798123839172</c:v>
                </c:pt>
                <c:pt idx="100">
                  <c:v>322.0951577108317</c:v>
                </c:pt>
                <c:pt idx="101">
                  <c:v>320.30310542386724</c:v>
                </c:pt>
                <c:pt idx="102">
                  <c:v>323.86527292473295</c:v>
                </c:pt>
                <c:pt idx="103">
                  <c:v>333.36304183586714</c:v>
                </c:pt>
                <c:pt idx="104">
                  <c:v>333.16029606195082</c:v>
                </c:pt>
                <c:pt idx="105">
                  <c:v>331.66336134982816</c:v>
                </c:pt>
                <c:pt idx="106">
                  <c:v>354.90387036862126</c:v>
                </c:pt>
                <c:pt idx="107">
                  <c:v>354.60039112915894</c:v>
                </c:pt>
                <c:pt idx="108">
                  <c:v>355.01847436018488</c:v>
                </c:pt>
                <c:pt idx="109">
                  <c:v>360.00920766833485</c:v>
                </c:pt>
                <c:pt idx="110">
                  <c:v>375.96109956873465</c:v>
                </c:pt>
                <c:pt idx="111">
                  <c:v>386.9591478578397</c:v>
                </c:pt>
                <c:pt idx="112">
                  <c:v>392.1374775710641</c:v>
                </c:pt>
                <c:pt idx="113">
                  <c:v>409.89706298989489</c:v>
                </c:pt>
                <c:pt idx="114">
                  <c:v>421.74101662102152</c:v>
                </c:pt>
                <c:pt idx="115">
                  <c:v>434.92273821890603</c:v>
                </c:pt>
                <c:pt idx="116">
                  <c:v>421.86476925740516</c:v>
                </c:pt>
                <c:pt idx="117">
                  <c:v>426.56156546101261</c:v>
                </c:pt>
                <c:pt idx="118">
                  <c:v>441.37568073787224</c:v>
                </c:pt>
                <c:pt idx="119">
                  <c:v>447.64712594831065</c:v>
                </c:pt>
                <c:pt idx="120">
                  <c:v>439.60841832719444</c:v>
                </c:pt>
                <c:pt idx="121">
                  <c:v>415.23623178140798</c:v>
                </c:pt>
                <c:pt idx="122">
                  <c:v>409.40205244436009</c:v>
                </c:pt>
                <c:pt idx="123">
                  <c:v>397.89295888815394</c:v>
                </c:pt>
                <c:pt idx="124">
                  <c:v>394.86180627695364</c:v>
                </c:pt>
                <c:pt idx="125">
                  <c:v>377.56103031447691</c:v>
                </c:pt>
                <c:pt idx="126">
                  <c:v>398.13593902477373</c:v>
                </c:pt>
                <c:pt idx="127">
                  <c:v>390.19678439890413</c:v>
                </c:pt>
                <c:pt idx="128">
                  <c:v>376.46024176031693</c:v>
                </c:pt>
                <c:pt idx="129">
                  <c:v>401.46614411181372</c:v>
                </c:pt>
                <c:pt idx="130">
                  <c:v>412.8252195674753</c:v>
                </c:pt>
                <c:pt idx="131">
                  <c:v>391.55491547832617</c:v>
                </c:pt>
                <c:pt idx="132">
                  <c:v>403.61243586111334</c:v>
                </c:pt>
                <c:pt idx="133">
                  <c:v>410.06370604715545</c:v>
                </c:pt>
                <c:pt idx="134">
                  <c:v>426.0752116976733</c:v>
                </c:pt>
                <c:pt idx="135">
                  <c:v>438.23405578115609</c:v>
                </c:pt>
                <c:pt idx="136">
                  <c:v>443.18416123650292</c:v>
                </c:pt>
                <c:pt idx="137">
                  <c:v>456.01715223344939</c:v>
                </c:pt>
                <c:pt idx="138">
                  <c:v>466.9844099222459</c:v>
                </c:pt>
                <c:pt idx="139">
                  <c:v>472.52652123272526</c:v>
                </c:pt>
                <c:pt idx="140">
                  <c:v>453.81872373060042</c:v>
                </c:pt>
                <c:pt idx="141">
                  <c:v>448.86347708618598</c:v>
                </c:pt>
                <c:pt idx="142">
                  <c:v>467.43251026976441</c:v>
                </c:pt>
                <c:pt idx="143">
                  <c:v>475.49572107191784</c:v>
                </c:pt>
                <c:pt idx="144">
                  <c:v>493.25358427106971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110-4CB7-BF12-6B539BE9A0D9}"/>
            </c:ext>
          </c:extLst>
        </c:ser>
        <c:ser>
          <c:idx val="5"/>
          <c:order val="3"/>
          <c:tx>
            <c:strRef>
              <c:f>'Historical Returns'!$AD$4</c:f>
              <c:strCache>
                <c:ptCount val="1"/>
                <c:pt idx="0">
                  <c:v>Australian Listed Property [G]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Returns'!$AD$5:$AD$253</c:f>
              <c:numCache>
                <c:formatCode>General</c:formatCode>
                <c:ptCount val="249"/>
                <c:pt idx="0">
                  <c:v>105.40239275160077</c:v>
                </c:pt>
                <c:pt idx="1">
                  <c:v>107.77824399454525</c:v>
                </c:pt>
                <c:pt idx="2">
                  <c:v>107.13756679349882</c:v>
                </c:pt>
                <c:pt idx="3">
                  <c:v>112.94397875746874</c:v>
                </c:pt>
                <c:pt idx="4">
                  <c:v>111.54686485117618</c:v>
                </c:pt>
                <c:pt idx="5">
                  <c:v>116.38550616836572</c:v>
                </c:pt>
                <c:pt idx="6">
                  <c:v>122.84700566983166</c:v>
                </c:pt>
                <c:pt idx="7">
                  <c:v>122.68838601053014</c:v>
                </c:pt>
                <c:pt idx="8">
                  <c:v>124.16163099578604</c:v>
                </c:pt>
                <c:pt idx="9">
                  <c:v>130.77306157134126</c:v>
                </c:pt>
                <c:pt idx="10">
                  <c:v>129.09849570921639</c:v>
                </c:pt>
                <c:pt idx="11">
                  <c:v>132.7942172167495</c:v>
                </c:pt>
                <c:pt idx="12">
                  <c:v>138.64454891938374</c:v>
                </c:pt>
                <c:pt idx="13">
                  <c:v>143.54257989524962</c:v>
                </c:pt>
                <c:pt idx="14">
                  <c:v>139.83610361455746</c:v>
                </c:pt>
                <c:pt idx="15">
                  <c:v>151.24379216480341</c:v>
                </c:pt>
                <c:pt idx="16">
                  <c:v>145.7037065292599</c:v>
                </c:pt>
                <c:pt idx="17">
                  <c:v>144.29281803665526</c:v>
                </c:pt>
                <c:pt idx="18">
                  <c:v>143.27598867093261</c:v>
                </c:pt>
                <c:pt idx="19">
                  <c:v>143.17220246098884</c:v>
                </c:pt>
                <c:pt idx="20">
                  <c:v>144.50876116668633</c:v>
                </c:pt>
                <c:pt idx="21">
                  <c:v>148.32559307540956</c:v>
                </c:pt>
                <c:pt idx="22">
                  <c:v>144.27205019883093</c:v>
                </c:pt>
                <c:pt idx="23">
                  <c:v>142.4518975552229</c:v>
                </c:pt>
                <c:pt idx="24">
                  <c:v>143.03678768170539</c:v>
                </c:pt>
                <c:pt idx="25">
                  <c:v>149.13389639603849</c:v>
                </c:pt>
                <c:pt idx="26">
                  <c:v>146.77679978214968</c:v>
                </c:pt>
                <c:pt idx="27">
                  <c:v>155.03837281871483</c:v>
                </c:pt>
                <c:pt idx="28">
                  <c:v>155.1107423760314</c:v>
                </c:pt>
                <c:pt idx="29">
                  <c:v>160.27705990991424</c:v>
                </c:pt>
                <c:pt idx="30">
                  <c:v>168.22187044047953</c:v>
                </c:pt>
                <c:pt idx="31">
                  <c:v>171.04126336267325</c:v>
                </c:pt>
                <c:pt idx="32">
                  <c:v>162.25556731693317</c:v>
                </c:pt>
                <c:pt idx="33">
                  <c:v>172.84721758654422</c:v>
                </c:pt>
                <c:pt idx="34">
                  <c:v>172.84366798160997</c:v>
                </c:pt>
                <c:pt idx="35">
                  <c:v>180.60877313998063</c:v>
                </c:pt>
                <c:pt idx="36">
                  <c:v>194.04635890002527</c:v>
                </c:pt>
                <c:pt idx="37">
                  <c:v>201.19955455107046</c:v>
                </c:pt>
                <c:pt idx="38">
                  <c:v>197.25387728115106</c:v>
                </c:pt>
                <c:pt idx="39">
                  <c:v>195.30185946319389</c:v>
                </c:pt>
                <c:pt idx="40">
                  <c:v>200.62488940596577</c:v>
                </c:pt>
                <c:pt idx="41">
                  <c:v>192.65464886990128</c:v>
                </c:pt>
                <c:pt idx="42">
                  <c:v>203.57625346086493</c:v>
                </c:pt>
                <c:pt idx="43">
                  <c:v>195.39112937833184</c:v>
                </c:pt>
                <c:pt idx="44">
                  <c:v>194.83829165461404</c:v>
                </c:pt>
                <c:pt idx="45">
                  <c:v>204.33067695734238</c:v>
                </c:pt>
                <c:pt idx="46">
                  <c:v>198.54296664325003</c:v>
                </c:pt>
                <c:pt idx="47">
                  <c:v>206.57392131744396</c:v>
                </c:pt>
                <c:pt idx="48">
                  <c:v>208.53489261650398</c:v>
                </c:pt>
                <c:pt idx="49">
                  <c:v>214.393700987638</c:v>
                </c:pt>
                <c:pt idx="50">
                  <c:v>219.74804162468081</c:v>
                </c:pt>
                <c:pt idx="51">
                  <c:v>225.80472722610577</c:v>
                </c:pt>
                <c:pt idx="52">
                  <c:v>231.84705547025922</c:v>
                </c:pt>
                <c:pt idx="53">
                  <c:v>240.02688163497996</c:v>
                </c:pt>
                <c:pt idx="54">
                  <c:v>252.90357683623199</c:v>
                </c:pt>
                <c:pt idx="55">
                  <c:v>246.12934124630354</c:v>
                </c:pt>
                <c:pt idx="56">
                  <c:v>235.51713505558064</c:v>
                </c:pt>
                <c:pt idx="57">
                  <c:v>217.38411069681408</c:v>
                </c:pt>
                <c:pt idx="58">
                  <c:v>219.00802846465297</c:v>
                </c:pt>
                <c:pt idx="59">
                  <c:v>233.79457005807589</c:v>
                </c:pt>
                <c:pt idx="60">
                  <c:v>222.7812585097806</c:v>
                </c:pt>
                <c:pt idx="61">
                  <c:v>231.97701339419592</c:v>
                </c:pt>
                <c:pt idx="62">
                  <c:v>233.61671895711558</c:v>
                </c:pt>
                <c:pt idx="63">
                  <c:v>239.59526027080847</c:v>
                </c:pt>
                <c:pt idx="64">
                  <c:v>237.18783343770244</c:v>
                </c:pt>
                <c:pt idx="65">
                  <c:v>226.48868841567898</c:v>
                </c:pt>
                <c:pt idx="66">
                  <c:v>226.14352907020492</c:v>
                </c:pt>
                <c:pt idx="67">
                  <c:v>229.56614291451183</c:v>
                </c:pt>
                <c:pt idx="68">
                  <c:v>230.87886099005377</c:v>
                </c:pt>
                <c:pt idx="69">
                  <c:v>236.06488677819857</c:v>
                </c:pt>
                <c:pt idx="70">
                  <c:v>248.55303268709346</c:v>
                </c:pt>
                <c:pt idx="71">
                  <c:v>248.8568152944531</c:v>
                </c:pt>
                <c:pt idx="72">
                  <c:v>240.77960979775742</c:v>
                </c:pt>
                <c:pt idx="73">
                  <c:v>233.19272659459389</c:v>
                </c:pt>
                <c:pt idx="74">
                  <c:v>233.45449671370173</c:v>
                </c:pt>
                <c:pt idx="75">
                  <c:v>243.43805197681223</c:v>
                </c:pt>
                <c:pt idx="76">
                  <c:v>250.6818950016266</c:v>
                </c:pt>
                <c:pt idx="77">
                  <c:v>256.37466662852182</c:v>
                </c:pt>
                <c:pt idx="78">
                  <c:v>258.82219869946732</c:v>
                </c:pt>
                <c:pt idx="79">
                  <c:v>265.5725406800621</c:v>
                </c:pt>
                <c:pt idx="80">
                  <c:v>261.46220412453511</c:v>
                </c:pt>
                <c:pt idx="81">
                  <c:v>253.31363567490718</c:v>
                </c:pt>
                <c:pt idx="82">
                  <c:v>252.62819106834647</c:v>
                </c:pt>
                <c:pt idx="83">
                  <c:v>257.00103945147492</c:v>
                </c:pt>
                <c:pt idx="84">
                  <c:v>272.31451195051341</c:v>
                </c:pt>
                <c:pt idx="85">
                  <c:v>277.20904630062313</c:v>
                </c:pt>
                <c:pt idx="86">
                  <c:v>293.96455904900273</c:v>
                </c:pt>
                <c:pt idx="87">
                  <c:v>287.22438907060763</c:v>
                </c:pt>
                <c:pt idx="88">
                  <c:v>293.8413294806877</c:v>
                </c:pt>
                <c:pt idx="89">
                  <c:v>306.0756521471933</c:v>
                </c:pt>
                <c:pt idx="90">
                  <c:v>314.06766712546647</c:v>
                </c:pt>
                <c:pt idx="91">
                  <c:v>318.22345981582333</c:v>
                </c:pt>
                <c:pt idx="92">
                  <c:v>309.53174883207413</c:v>
                </c:pt>
                <c:pt idx="93">
                  <c:v>313.77495716633456</c:v>
                </c:pt>
                <c:pt idx="94">
                  <c:v>320.88063049460305</c:v>
                </c:pt>
                <c:pt idx="95">
                  <c:v>307.28553763799761</c:v>
                </c:pt>
                <c:pt idx="96">
                  <c:v>326.63925523990571</c:v>
                </c:pt>
                <c:pt idx="97">
                  <c:v>311.32572976168916</c:v>
                </c:pt>
                <c:pt idx="98">
                  <c:v>201.86846965405664</c:v>
                </c:pt>
                <c:pt idx="99">
                  <c:v>229.50203810898248</c:v>
                </c:pt>
                <c:pt idx="100">
                  <c:v>245.68315060814805</c:v>
                </c:pt>
                <c:pt idx="101">
                  <c:v>242.69496602445315</c:v>
                </c:pt>
                <c:pt idx="102">
                  <c:v>244.21626312426702</c:v>
                </c:pt>
                <c:pt idx="103">
                  <c:v>263.62534396731405</c:v>
                </c:pt>
                <c:pt idx="104">
                  <c:v>260.60568975181383</c:v>
                </c:pt>
                <c:pt idx="105">
                  <c:v>259.88210013700422</c:v>
                </c:pt>
                <c:pt idx="106">
                  <c:v>293.34284839372441</c:v>
                </c:pt>
                <c:pt idx="107">
                  <c:v>295.10959802578407</c:v>
                </c:pt>
                <c:pt idx="108">
                  <c:v>283.09784088657489</c:v>
                </c:pt>
                <c:pt idx="109">
                  <c:v>276.07317272165704</c:v>
                </c:pt>
                <c:pt idx="110">
                  <c:v>293.46051514833653</c:v>
                </c:pt>
                <c:pt idx="111">
                  <c:v>302.51110708469366</c:v>
                </c:pt>
                <c:pt idx="112">
                  <c:v>307.88414937161411</c:v>
                </c:pt>
                <c:pt idx="113">
                  <c:v>324.99165577944569</c:v>
                </c:pt>
                <c:pt idx="114">
                  <c:v>326.51544290063134</c:v>
                </c:pt>
                <c:pt idx="115">
                  <c:v>347.3317036938144</c:v>
                </c:pt>
                <c:pt idx="116">
                  <c:v>340.58385173459146</c:v>
                </c:pt>
                <c:pt idx="117">
                  <c:v>342.64209280468611</c:v>
                </c:pt>
                <c:pt idx="118">
                  <c:v>356.19379571440851</c:v>
                </c:pt>
                <c:pt idx="119">
                  <c:v>374.86932685715885</c:v>
                </c:pt>
                <c:pt idx="120">
                  <c:v>339.45513034467211</c:v>
                </c:pt>
                <c:pt idx="121">
                  <c:v>344.69996302053386</c:v>
                </c:pt>
                <c:pt idx="122">
                  <c:v>349.67666807591297</c:v>
                </c:pt>
                <c:pt idx="123">
                  <c:v>352.0826114920315</c:v>
                </c:pt>
                <c:pt idx="124">
                  <c:v>321.97518031463289</c:v>
                </c:pt>
                <c:pt idx="125">
                  <c:v>288.51909422558754</c:v>
                </c:pt>
                <c:pt idx="126">
                  <c:v>322.51276003505114</c:v>
                </c:pt>
                <c:pt idx="127">
                  <c:v>310.7895804790802</c:v>
                </c:pt>
                <c:pt idx="128">
                  <c:v>268.63378355038913</c:v>
                </c:pt>
                <c:pt idx="129">
                  <c:v>295.15754418198571</c:v>
                </c:pt>
                <c:pt idx="130">
                  <c:v>312.29779172189757</c:v>
                </c:pt>
                <c:pt idx="131">
                  <c:v>299.68689305729077</c:v>
                </c:pt>
                <c:pt idx="132">
                  <c:v>323.88327839392582</c:v>
                </c:pt>
                <c:pt idx="133">
                  <c:v>322.71577624562013</c:v>
                </c:pt>
                <c:pt idx="134">
                  <c:v>300.6541868914681</c:v>
                </c:pt>
                <c:pt idx="135">
                  <c:v>316.15478184763845</c:v>
                </c:pt>
                <c:pt idx="136">
                  <c:v>310.42476585852251</c:v>
                </c:pt>
                <c:pt idx="137">
                  <c:v>310.13391017062497</c:v>
                </c:pt>
                <c:pt idx="138">
                  <c:v>322.20479207261985</c:v>
                </c:pt>
                <c:pt idx="139">
                  <c:v>329.21828163095364</c:v>
                </c:pt>
                <c:pt idx="140">
                  <c:v>297.99719511076381</c:v>
                </c:pt>
                <c:pt idx="141">
                  <c:v>279.9185992749791</c:v>
                </c:pt>
                <c:pt idx="142">
                  <c:v>307.49282065235877</c:v>
                </c:pt>
                <c:pt idx="143">
                  <c:v>338.95948346817659</c:v>
                </c:pt>
                <c:pt idx="144">
                  <c:v>343.02598039134432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110-4CB7-BF12-6B539BE9A0D9}"/>
            </c:ext>
          </c:extLst>
        </c:ser>
        <c:ser>
          <c:idx val="6"/>
          <c:order val="4"/>
          <c:tx>
            <c:strRef>
              <c:f>'Historical Returns'!$AE$4</c:f>
              <c:strCache>
                <c:ptCount val="1"/>
                <c:pt idx="0">
                  <c:v>Int'l Listed Property [G]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Returns'!$AE$5:$AE$211</c:f>
              <c:numCache>
                <c:formatCode>General</c:formatCode>
                <c:ptCount val="207"/>
                <c:pt idx="0">
                  <c:v>101.2</c:v>
                </c:pt>
                <c:pt idx="1">
                  <c:v>102.09562000000001</c:v>
                </c:pt>
                <c:pt idx="2">
                  <c:v>106.97346000000002</c:v>
                </c:pt>
                <c:pt idx="3">
                  <c:v>109.56721600000003</c:v>
                </c:pt>
                <c:pt idx="4">
                  <c:v>105.47367600000003</c:v>
                </c:pt>
                <c:pt idx="5">
                  <c:v>110.57213200000001</c:v>
                </c:pt>
                <c:pt idx="6">
                  <c:v>113.91881600000004</c:v>
                </c:pt>
                <c:pt idx="7">
                  <c:v>114.47440400000002</c:v>
                </c:pt>
                <c:pt idx="8">
                  <c:v>113.96941600000002</c:v>
                </c:pt>
                <c:pt idx="9">
                  <c:v>115.07148400000001</c:v>
                </c:pt>
                <c:pt idx="10">
                  <c:v>115.976212</c:v>
                </c:pt>
                <c:pt idx="11">
                  <c:v>119.649772</c:v>
                </c:pt>
                <c:pt idx="12">
                  <c:v>123.702832</c:v>
                </c:pt>
                <c:pt idx="13">
                  <c:v>125.89381200000001</c:v>
                </c:pt>
                <c:pt idx="14">
                  <c:v>130.06325200000001</c:v>
                </c:pt>
                <c:pt idx="15">
                  <c:v>137.91131200000001</c:v>
                </c:pt>
                <c:pt idx="16">
                  <c:v>130.10676800000002</c:v>
                </c:pt>
                <c:pt idx="17">
                  <c:v>126.64269200000001</c:v>
                </c:pt>
                <c:pt idx="18">
                  <c:v>128.10908000000001</c:v>
                </c:pt>
                <c:pt idx="19">
                  <c:v>121.11818399999999</c:v>
                </c:pt>
                <c:pt idx="20">
                  <c:v>126.53541999999997</c:v>
                </c:pt>
                <c:pt idx="21">
                  <c:v>131.38289999999998</c:v>
                </c:pt>
                <c:pt idx="22">
                  <c:v>126.89569199999998</c:v>
                </c:pt>
                <c:pt idx="23">
                  <c:v>127.31668399999998</c:v>
                </c:pt>
                <c:pt idx="24">
                  <c:v>130.63300799999999</c:v>
                </c:pt>
                <c:pt idx="25">
                  <c:v>136.89324000000002</c:v>
                </c:pt>
                <c:pt idx="26">
                  <c:v>137.24541600000001</c:v>
                </c:pt>
                <c:pt idx="27">
                  <c:v>141.797392</c:v>
                </c:pt>
                <c:pt idx="28">
                  <c:v>146.39591999999996</c:v>
                </c:pt>
                <c:pt idx="29">
                  <c:v>147.79551599999999</c:v>
                </c:pt>
                <c:pt idx="30">
                  <c:v>148.37741600000001</c:v>
                </c:pt>
                <c:pt idx="31">
                  <c:v>152.61162400000001</c:v>
                </c:pt>
                <c:pt idx="32">
                  <c:v>145.18253199999998</c:v>
                </c:pt>
                <c:pt idx="33">
                  <c:v>156.22041599999997</c:v>
                </c:pt>
                <c:pt idx="34">
                  <c:v>160.69041999999996</c:v>
                </c:pt>
                <c:pt idx="35">
                  <c:v>163.22649199999998</c:v>
                </c:pt>
                <c:pt idx="36">
                  <c:v>175.43323599999997</c:v>
                </c:pt>
                <c:pt idx="37">
                  <c:v>173.08843199999995</c:v>
                </c:pt>
                <c:pt idx="38">
                  <c:v>174.83817999999997</c:v>
                </c:pt>
                <c:pt idx="39">
                  <c:v>168.71456799999996</c:v>
                </c:pt>
                <c:pt idx="40">
                  <c:v>167.56493599999993</c:v>
                </c:pt>
                <c:pt idx="41">
                  <c:v>160.33621999999994</c:v>
                </c:pt>
                <c:pt idx="42">
                  <c:v>169.02423999999996</c:v>
                </c:pt>
                <c:pt idx="43">
                  <c:v>159.73509199999998</c:v>
                </c:pt>
                <c:pt idx="44">
                  <c:v>163.71629999999996</c:v>
                </c:pt>
                <c:pt idx="45">
                  <c:v>173.16028399999993</c:v>
                </c:pt>
                <c:pt idx="46">
                  <c:v>172.23835199999994</c:v>
                </c:pt>
                <c:pt idx="47">
                  <c:v>173.7431959999999</c:v>
                </c:pt>
                <c:pt idx="48">
                  <c:v>168.62045199999991</c:v>
                </c:pt>
                <c:pt idx="49">
                  <c:v>168.40287199999989</c:v>
                </c:pt>
                <c:pt idx="50">
                  <c:v>181.86348399999989</c:v>
                </c:pt>
                <c:pt idx="51">
                  <c:v>179.39521599999989</c:v>
                </c:pt>
                <c:pt idx="52">
                  <c:v>182.93417999999991</c:v>
                </c:pt>
                <c:pt idx="53">
                  <c:v>190.53025199999988</c:v>
                </c:pt>
                <c:pt idx="54">
                  <c:v>199.43079199999985</c:v>
                </c:pt>
                <c:pt idx="55">
                  <c:v>194.56205999999983</c:v>
                </c:pt>
                <c:pt idx="56">
                  <c:v>191.78513199999983</c:v>
                </c:pt>
                <c:pt idx="57">
                  <c:v>181.77645199999986</c:v>
                </c:pt>
                <c:pt idx="58">
                  <c:v>178.48643999999987</c:v>
                </c:pt>
                <c:pt idx="59">
                  <c:v>186.27074399999987</c:v>
                </c:pt>
                <c:pt idx="60">
                  <c:v>185.12414799999988</c:v>
                </c:pt>
                <c:pt idx="61">
                  <c:v>191.14048799999986</c:v>
                </c:pt>
                <c:pt idx="62">
                  <c:v>187.69057999999987</c:v>
                </c:pt>
                <c:pt idx="63">
                  <c:v>188.74609599999985</c:v>
                </c:pt>
                <c:pt idx="64">
                  <c:v>189.39579999999987</c:v>
                </c:pt>
                <c:pt idx="65">
                  <c:v>191.23460399999988</c:v>
                </c:pt>
                <c:pt idx="66">
                  <c:v>193.08858799999987</c:v>
                </c:pt>
                <c:pt idx="67">
                  <c:v>193.05114399999988</c:v>
                </c:pt>
                <c:pt idx="68">
                  <c:v>192.85177999999991</c:v>
                </c:pt>
                <c:pt idx="69">
                  <c:v>192.0057479999999</c:v>
                </c:pt>
                <c:pt idx="70">
                  <c:v>197.0748559999999</c:v>
                </c:pt>
                <c:pt idx="71">
                  <c:v>199.08974799999987</c:v>
                </c:pt>
                <c:pt idx="72">
                  <c:v>194.00849599999987</c:v>
                </c:pt>
                <c:pt idx="73">
                  <c:v>181.65905999999987</c:v>
                </c:pt>
                <c:pt idx="74">
                  <c:v>187.66527999999988</c:v>
                </c:pt>
                <c:pt idx="75">
                  <c:v>191.86609199999987</c:v>
                </c:pt>
                <c:pt idx="76">
                  <c:v>197.34809599999983</c:v>
                </c:pt>
                <c:pt idx="77">
                  <c:v>202.77848799999984</c:v>
                </c:pt>
                <c:pt idx="78">
                  <c:v>204.85207599999987</c:v>
                </c:pt>
                <c:pt idx="79">
                  <c:v>208.71589199999983</c:v>
                </c:pt>
                <c:pt idx="80">
                  <c:v>204.05967999999984</c:v>
                </c:pt>
                <c:pt idx="81">
                  <c:v>198.72340399999985</c:v>
                </c:pt>
                <c:pt idx="82">
                  <c:v>205.35503999999986</c:v>
                </c:pt>
                <c:pt idx="83">
                  <c:v>191.58374399999985</c:v>
                </c:pt>
                <c:pt idx="84">
                  <c:v>211.04450399999985</c:v>
                </c:pt>
                <c:pt idx="85">
                  <c:v>211.59098399999985</c:v>
                </c:pt>
                <c:pt idx="86">
                  <c:v>219.05347199999983</c:v>
                </c:pt>
                <c:pt idx="87">
                  <c:v>217.84615599999984</c:v>
                </c:pt>
                <c:pt idx="88">
                  <c:v>218.26512399999984</c:v>
                </c:pt>
                <c:pt idx="89">
                  <c:v>219.27813599999985</c:v>
                </c:pt>
                <c:pt idx="90">
                  <c:v>222.19775599999986</c:v>
                </c:pt>
                <c:pt idx="91">
                  <c:v>228.36184799999984</c:v>
                </c:pt>
                <c:pt idx="92">
                  <c:v>234.97324399999982</c:v>
                </c:pt>
                <c:pt idx="93">
                  <c:v>239.05767599999984</c:v>
                </c:pt>
                <c:pt idx="94">
                  <c:v>236.74525599999984</c:v>
                </c:pt>
                <c:pt idx="95">
                  <c:v>235.93970399999984</c:v>
                </c:pt>
                <c:pt idx="96">
                  <c:v>239.39973199999986</c:v>
                </c:pt>
                <c:pt idx="97">
                  <c:v>219.82866399999983</c:v>
                </c:pt>
                <c:pt idx="98">
                  <c:v>168.97768799999989</c:v>
                </c:pt>
                <c:pt idx="99">
                  <c:v>178.72729599999985</c:v>
                </c:pt>
                <c:pt idx="100">
                  <c:v>179.76560799999987</c:v>
                </c:pt>
                <c:pt idx="101">
                  <c:v>183.77818799999986</c:v>
                </c:pt>
                <c:pt idx="102">
                  <c:v>187.70373599999985</c:v>
                </c:pt>
                <c:pt idx="103">
                  <c:v>190.46143599999985</c:v>
                </c:pt>
                <c:pt idx="104">
                  <c:v>185.90237599999986</c:v>
                </c:pt>
                <c:pt idx="105">
                  <c:v>179.58951999999985</c:v>
                </c:pt>
                <c:pt idx="106">
                  <c:v>199.46519999999984</c:v>
                </c:pt>
                <c:pt idx="107">
                  <c:v>205.57160799999986</c:v>
                </c:pt>
                <c:pt idx="108">
                  <c:v>204.59097999999989</c:v>
                </c:pt>
                <c:pt idx="109">
                  <c:v>211.67415015999984</c:v>
                </c:pt>
                <c:pt idx="110">
                  <c:v>220.02432407999984</c:v>
                </c:pt>
                <c:pt idx="111">
                  <c:v>234.64740023999983</c:v>
                </c:pt>
                <c:pt idx="112">
                  <c:v>237.69582759999983</c:v>
                </c:pt>
                <c:pt idx="113">
                  <c:v>242.23450591999983</c:v>
                </c:pt>
                <c:pt idx="114">
                  <c:v>253.74817159999984</c:v>
                </c:pt>
                <c:pt idx="115">
                  <c:v>257.61947639999983</c:v>
                </c:pt>
                <c:pt idx="116">
                  <c:v>242.48476339999985</c:v>
                </c:pt>
                <c:pt idx="117">
                  <c:v>257.4234317599998</c:v>
                </c:pt>
                <c:pt idx="118">
                  <c:v>255.03158999999977</c:v>
                </c:pt>
                <c:pt idx="119">
                  <c:v>271.36374187999979</c:v>
                </c:pt>
                <c:pt idx="120">
                  <c:v>254.91470399999983</c:v>
                </c:pt>
                <c:pt idx="121">
                  <c:v>247.47407519999985</c:v>
                </c:pt>
                <c:pt idx="122">
                  <c:v>260.06112879999984</c:v>
                </c:pt>
                <c:pt idx="123">
                  <c:v>248.32041079999985</c:v>
                </c:pt>
                <c:pt idx="124">
                  <c:v>235.91329079999988</c:v>
                </c:pt>
                <c:pt idx="125">
                  <c:v>216.0001667999999</c:v>
                </c:pt>
                <c:pt idx="126">
                  <c:v>233.58123799999987</c:v>
                </c:pt>
                <c:pt idx="127">
                  <c:v>219.69943159999991</c:v>
                </c:pt>
                <c:pt idx="128">
                  <c:v>192.6350095999999</c:v>
                </c:pt>
                <c:pt idx="129">
                  <c:v>198.8958487999999</c:v>
                </c:pt>
                <c:pt idx="130">
                  <c:v>208.76527759999991</c:v>
                </c:pt>
                <c:pt idx="131">
                  <c:v>200.80053399999989</c:v>
                </c:pt>
                <c:pt idx="132">
                  <c:v>218.03347719999991</c:v>
                </c:pt>
                <c:pt idx="133">
                  <c:v>209.2043843999999</c:v>
                </c:pt>
                <c:pt idx="134">
                  <c:v>201.07164879999988</c:v>
                </c:pt>
                <c:pt idx="135">
                  <c:v>204.54665439999985</c:v>
                </c:pt>
                <c:pt idx="136">
                  <c:v>196.63848159999986</c:v>
                </c:pt>
                <c:pt idx="137">
                  <c:v>202.69914719999983</c:v>
                </c:pt>
                <c:pt idx="138">
                  <c:v>209.1631959999998</c:v>
                </c:pt>
                <c:pt idx="139">
                  <c:v>203.1407839999998</c:v>
                </c:pt>
                <c:pt idx="140">
                  <c:v>190.49120738031979</c:v>
                </c:pt>
                <c:pt idx="141">
                  <c:v>181.45716187030811</c:v>
                </c:pt>
                <c:pt idx="142">
                  <c:v>197.07227647789563</c:v>
                </c:pt>
                <c:pt idx="143">
                  <c:v>212.8193367298619</c:v>
                </c:pt>
                <c:pt idx="144">
                  <c:v>204.12268735373283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110-4CB7-BF12-6B539BE9A0D9}"/>
            </c:ext>
          </c:extLst>
        </c:ser>
        <c:ser>
          <c:idx val="3"/>
          <c:order val="5"/>
          <c:tx>
            <c:strRef>
              <c:f>'Historical Returns'!$AF$4</c:f>
              <c:strCache>
                <c:ptCount val="1"/>
                <c:pt idx="0">
                  <c:v>Int'l Listed Infrastructure [G]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Returns'!$AF$5:$AF$204</c:f>
              <c:numCache>
                <c:formatCode>General</c:formatCode>
                <c:ptCount val="200"/>
                <c:pt idx="0">
                  <c:v>99.91693131497729</c:v>
                </c:pt>
                <c:pt idx="1">
                  <c:v>101.60130865128406</c:v>
                </c:pt>
                <c:pt idx="2">
                  <c:v>103.14383023316742</c:v>
                </c:pt>
                <c:pt idx="3">
                  <c:v>105.15217544106277</c:v>
                </c:pt>
                <c:pt idx="4">
                  <c:v>103.00900336747669</c:v>
                </c:pt>
                <c:pt idx="5">
                  <c:v>107.13112711425778</c:v>
                </c:pt>
                <c:pt idx="6">
                  <c:v>108.71837798807645</c:v>
                </c:pt>
                <c:pt idx="7">
                  <c:v>107.82634810890943</c:v>
                </c:pt>
                <c:pt idx="8">
                  <c:v>109.12349757503338</c:v>
                </c:pt>
                <c:pt idx="9">
                  <c:v>111.1478175300485</c:v>
                </c:pt>
                <c:pt idx="10">
                  <c:v>110.46601532297744</c:v>
                </c:pt>
                <c:pt idx="11">
                  <c:v>112.81430314958115</c:v>
                </c:pt>
                <c:pt idx="12">
                  <c:v>118.25146807926031</c:v>
                </c:pt>
                <c:pt idx="13">
                  <c:v>122.41384818878318</c:v>
                </c:pt>
                <c:pt idx="14">
                  <c:v>127.92833089452195</c:v>
                </c:pt>
                <c:pt idx="15">
                  <c:v>135.0728767963603</c:v>
                </c:pt>
                <c:pt idx="16">
                  <c:v>129.94817792034351</c:v>
                </c:pt>
                <c:pt idx="17">
                  <c:v>129.22228541122192</c:v>
                </c:pt>
                <c:pt idx="18">
                  <c:v>133.37571966235774</c:v>
                </c:pt>
                <c:pt idx="19">
                  <c:v>128.09702422410652</c:v>
                </c:pt>
                <c:pt idx="20">
                  <c:v>132.31180150418217</c:v>
                </c:pt>
                <c:pt idx="21">
                  <c:v>137.15214988146738</c:v>
                </c:pt>
                <c:pt idx="22">
                  <c:v>136.40133676683899</c:v>
                </c:pt>
                <c:pt idx="23">
                  <c:v>139.53558215173456</c:v>
                </c:pt>
                <c:pt idx="24">
                  <c:v>139.91194719387593</c:v>
                </c:pt>
                <c:pt idx="25">
                  <c:v>144.76954829805044</c:v>
                </c:pt>
                <c:pt idx="26">
                  <c:v>147.18301309290274</c:v>
                </c:pt>
                <c:pt idx="27">
                  <c:v>150.57477140136871</c:v>
                </c:pt>
                <c:pt idx="28">
                  <c:v>154.02276081969623</c:v>
                </c:pt>
                <c:pt idx="29">
                  <c:v>159.70210291571087</c:v>
                </c:pt>
                <c:pt idx="30">
                  <c:v>157.92443305622473</c:v>
                </c:pt>
                <c:pt idx="31">
                  <c:v>164.50730684933259</c:v>
                </c:pt>
                <c:pt idx="32">
                  <c:v>163.66256222164006</c:v>
                </c:pt>
                <c:pt idx="33">
                  <c:v>171.74131133504159</c:v>
                </c:pt>
                <c:pt idx="34">
                  <c:v>173.64166725240744</c:v>
                </c:pt>
                <c:pt idx="35">
                  <c:v>176.50178597672803</c:v>
                </c:pt>
                <c:pt idx="36">
                  <c:v>180.34914407304939</c:v>
                </c:pt>
                <c:pt idx="37">
                  <c:v>178.03919563953312</c:v>
                </c:pt>
                <c:pt idx="38">
                  <c:v>176.04810315852708</c:v>
                </c:pt>
                <c:pt idx="39">
                  <c:v>177.74270433299048</c:v>
                </c:pt>
                <c:pt idx="40">
                  <c:v>177.08901768085019</c:v>
                </c:pt>
                <c:pt idx="41">
                  <c:v>169.60580714007307</c:v>
                </c:pt>
                <c:pt idx="42">
                  <c:v>176.13308881320415</c:v>
                </c:pt>
                <c:pt idx="43">
                  <c:v>166.90990881614354</c:v>
                </c:pt>
                <c:pt idx="44">
                  <c:v>165.54374844246226</c:v>
                </c:pt>
                <c:pt idx="45">
                  <c:v>172.67998747579836</c:v>
                </c:pt>
                <c:pt idx="46">
                  <c:v>168.92528291277162</c:v>
                </c:pt>
                <c:pt idx="47">
                  <c:v>165.35077349725566</c:v>
                </c:pt>
                <c:pt idx="48">
                  <c:v>166.31820418282791</c:v>
                </c:pt>
                <c:pt idx="49">
                  <c:v>167.32077931206362</c:v>
                </c:pt>
                <c:pt idx="50">
                  <c:v>176.17590113548516</c:v>
                </c:pt>
                <c:pt idx="51">
                  <c:v>176.45322274548408</c:v>
                </c:pt>
                <c:pt idx="52">
                  <c:v>178.33121401688223</c:v>
                </c:pt>
                <c:pt idx="53">
                  <c:v>186.17800980210498</c:v>
                </c:pt>
                <c:pt idx="54">
                  <c:v>189.19532003808393</c:v>
                </c:pt>
                <c:pt idx="55">
                  <c:v>183.86933934835824</c:v>
                </c:pt>
                <c:pt idx="56">
                  <c:v>187.62468290126981</c:v>
                </c:pt>
                <c:pt idx="57">
                  <c:v>185.70132334805155</c:v>
                </c:pt>
                <c:pt idx="58">
                  <c:v>182.67506725368551</c:v>
                </c:pt>
                <c:pt idx="59">
                  <c:v>188.80553620836199</c:v>
                </c:pt>
                <c:pt idx="60">
                  <c:v>190.46435394927715</c:v>
                </c:pt>
                <c:pt idx="61">
                  <c:v>197.37119561397361</c:v>
                </c:pt>
                <c:pt idx="62">
                  <c:v>199.63960970497857</c:v>
                </c:pt>
                <c:pt idx="63">
                  <c:v>203.35405790526355</c:v>
                </c:pt>
                <c:pt idx="64">
                  <c:v>210.05131088774885</c:v>
                </c:pt>
                <c:pt idx="65">
                  <c:v>206.84294267621769</c:v>
                </c:pt>
                <c:pt idx="66">
                  <c:v>207.40269781529381</c:v>
                </c:pt>
                <c:pt idx="67">
                  <c:v>212.05390518668113</c:v>
                </c:pt>
                <c:pt idx="68">
                  <c:v>210.45579148482105</c:v>
                </c:pt>
                <c:pt idx="69">
                  <c:v>214.83223320574862</c:v>
                </c:pt>
                <c:pt idx="70">
                  <c:v>219.47321673897932</c:v>
                </c:pt>
                <c:pt idx="71">
                  <c:v>214.78430896438937</c:v>
                </c:pt>
                <c:pt idx="72">
                  <c:v>210.88838763682398</c:v>
                </c:pt>
                <c:pt idx="73">
                  <c:v>201.78789369764303</c:v>
                </c:pt>
                <c:pt idx="74">
                  <c:v>205.52854048320441</c:v>
                </c:pt>
                <c:pt idx="75">
                  <c:v>211.09158642018724</c:v>
                </c:pt>
                <c:pt idx="76">
                  <c:v>213.9862105982865</c:v>
                </c:pt>
                <c:pt idx="77">
                  <c:v>219.50324926356441</c:v>
                </c:pt>
                <c:pt idx="78">
                  <c:v>225.19089822808129</c:v>
                </c:pt>
                <c:pt idx="79">
                  <c:v>224.71165581448872</c:v>
                </c:pt>
                <c:pt idx="80">
                  <c:v>225.42285155626013</c:v>
                </c:pt>
                <c:pt idx="81">
                  <c:v>221.43491568528495</c:v>
                </c:pt>
                <c:pt idx="82">
                  <c:v>229.32260682313424</c:v>
                </c:pt>
                <c:pt idx="83">
                  <c:v>216.65399336728524</c:v>
                </c:pt>
                <c:pt idx="84">
                  <c:v>231.58399202540647</c:v>
                </c:pt>
                <c:pt idx="85">
                  <c:v>240.30109203371333</c:v>
                </c:pt>
                <c:pt idx="86">
                  <c:v>247.7753567161034</c:v>
                </c:pt>
                <c:pt idx="87">
                  <c:v>250.72173907487061</c:v>
                </c:pt>
                <c:pt idx="88">
                  <c:v>248.36258842022548</c:v>
                </c:pt>
                <c:pt idx="89">
                  <c:v>254.06365617232294</c:v>
                </c:pt>
                <c:pt idx="90">
                  <c:v>254.5607903026897</c:v>
                </c:pt>
                <c:pt idx="91">
                  <c:v>258.12251992050983</c:v>
                </c:pt>
                <c:pt idx="92">
                  <c:v>263.16415011150389</c:v>
                </c:pt>
                <c:pt idx="93">
                  <c:v>262.47212406627619</c:v>
                </c:pt>
                <c:pt idx="94">
                  <c:v>261.42481964510517</c:v>
                </c:pt>
                <c:pt idx="95">
                  <c:v>269.16298714991359</c:v>
                </c:pt>
                <c:pt idx="96">
                  <c:v>280.38173255717385</c:v>
                </c:pt>
                <c:pt idx="97">
                  <c:v>256.70460136616055</c:v>
                </c:pt>
                <c:pt idx="98">
                  <c:v>226.07909416793947</c:v>
                </c:pt>
                <c:pt idx="99">
                  <c:v>238.84547307616137</c:v>
                </c:pt>
                <c:pt idx="100">
                  <c:v>249.43481344690332</c:v>
                </c:pt>
                <c:pt idx="101">
                  <c:v>241.87300715029698</c:v>
                </c:pt>
                <c:pt idx="102">
                  <c:v>248.50508316453372</c:v>
                </c:pt>
                <c:pt idx="103">
                  <c:v>249.37155344830916</c:v>
                </c:pt>
                <c:pt idx="104">
                  <c:v>249.23417062307925</c:v>
                </c:pt>
                <c:pt idx="105">
                  <c:v>247.09611046857148</c:v>
                </c:pt>
                <c:pt idx="106">
                  <c:v>259.89379988114814</c:v>
                </c:pt>
                <c:pt idx="107">
                  <c:v>260.59285481510852</c:v>
                </c:pt>
                <c:pt idx="108">
                  <c:v>257.70270356620279</c:v>
                </c:pt>
                <c:pt idx="109">
                  <c:v>254.74418039962453</c:v>
                </c:pt>
                <c:pt idx="110">
                  <c:v>276.52950535793047</c:v>
                </c:pt>
                <c:pt idx="111">
                  <c:v>284.22001699713121</c:v>
                </c:pt>
                <c:pt idx="112">
                  <c:v>283.89074550949891</c:v>
                </c:pt>
                <c:pt idx="113">
                  <c:v>283.00633877965737</c:v>
                </c:pt>
                <c:pt idx="114">
                  <c:v>288.02251800354031</c:v>
                </c:pt>
                <c:pt idx="115">
                  <c:v>294.0385438698508</c:v>
                </c:pt>
                <c:pt idx="116">
                  <c:v>281.08604637788608</c:v>
                </c:pt>
                <c:pt idx="117">
                  <c:v>297.76456417694931</c:v>
                </c:pt>
                <c:pt idx="118">
                  <c:v>290.12556151236146</c:v>
                </c:pt>
                <c:pt idx="119">
                  <c:v>310.04956005546455</c:v>
                </c:pt>
                <c:pt idx="120">
                  <c:v>299.70996249129399</c:v>
                </c:pt>
                <c:pt idx="121">
                  <c:v>297.20556943583603</c:v>
                </c:pt>
                <c:pt idx="122">
                  <c:v>321.41715176648779</c:v>
                </c:pt>
                <c:pt idx="123">
                  <c:v>308.1558751924959</c:v>
                </c:pt>
                <c:pt idx="124">
                  <c:v>312.7493178782982</c:v>
                </c:pt>
                <c:pt idx="125">
                  <c:v>296.67118219518602</c:v>
                </c:pt>
                <c:pt idx="126">
                  <c:v>314.66213409841748</c:v>
                </c:pt>
                <c:pt idx="127">
                  <c:v>309.17921749298733</c:v>
                </c:pt>
                <c:pt idx="128">
                  <c:v>273.37993699559757</c:v>
                </c:pt>
                <c:pt idx="129">
                  <c:v>281.56667539952861</c:v>
                </c:pt>
                <c:pt idx="130">
                  <c:v>300.24230496431261</c:v>
                </c:pt>
                <c:pt idx="131">
                  <c:v>291.86648945347213</c:v>
                </c:pt>
                <c:pt idx="132">
                  <c:v>293.96755209365057</c:v>
                </c:pt>
                <c:pt idx="133">
                  <c:v>280.46895467644771</c:v>
                </c:pt>
                <c:pt idx="134">
                  <c:v>286.82351738372012</c:v>
                </c:pt>
                <c:pt idx="135">
                  <c:v>291.70623079036687</c:v>
                </c:pt>
                <c:pt idx="136">
                  <c:v>276.66530348824608</c:v>
                </c:pt>
                <c:pt idx="137">
                  <c:v>284.46915915321091</c:v>
                </c:pt>
                <c:pt idx="138">
                  <c:v>289.11755496910519</c:v>
                </c:pt>
                <c:pt idx="139">
                  <c:v>275.15537039048706</c:v>
                </c:pt>
                <c:pt idx="140">
                  <c:v>261.08585083631027</c:v>
                </c:pt>
                <c:pt idx="141">
                  <c:v>261.7495310691362</c:v>
                </c:pt>
                <c:pt idx="142">
                  <c:v>277.58459245022573</c:v>
                </c:pt>
                <c:pt idx="143">
                  <c:v>285.056059340616</c:v>
                </c:pt>
                <c:pt idx="144">
                  <c:v>278.84582803182133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10-4CB7-BF12-6B539BE9A0D9}"/>
            </c:ext>
          </c:extLst>
        </c:ser>
        <c:ser>
          <c:idx val="4"/>
          <c:order val="6"/>
          <c:tx>
            <c:strRef>
              <c:f>'Historical Returns'!$AG$4</c:f>
              <c:strCache>
                <c:ptCount val="1"/>
                <c:pt idx="0">
                  <c:v>Australian Fixed Income [D]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Returns'!$AG$5:$AG$211</c:f>
              <c:numCache>
                <c:formatCode>General</c:formatCode>
                <c:ptCount val="207"/>
                <c:pt idx="0">
                  <c:v>100.13582219765722</c:v>
                </c:pt>
                <c:pt idx="1">
                  <c:v>99.923452765904798</c:v>
                </c:pt>
                <c:pt idx="2">
                  <c:v>100.7843056200355</c:v>
                </c:pt>
                <c:pt idx="3">
                  <c:v>102.39080022501651</c:v>
                </c:pt>
                <c:pt idx="4">
                  <c:v>105.56139648981213</c:v>
                </c:pt>
                <c:pt idx="5">
                  <c:v>105.38928084336089</c:v>
                </c:pt>
                <c:pt idx="6">
                  <c:v>105.78087718273804</c:v>
                </c:pt>
                <c:pt idx="7">
                  <c:v>106.44471052252739</c:v>
                </c:pt>
                <c:pt idx="8">
                  <c:v>107.48042524185516</c:v>
                </c:pt>
                <c:pt idx="9">
                  <c:v>107.49993784873365</c:v>
                </c:pt>
                <c:pt idx="10">
                  <c:v>107.50829213523423</c:v>
                </c:pt>
                <c:pt idx="11">
                  <c:v>107.70386627128826</c:v>
                </c:pt>
                <c:pt idx="12">
                  <c:v>107.4605657441877</c:v>
                </c:pt>
                <c:pt idx="13">
                  <c:v>108.09909051016652</c:v>
                </c:pt>
                <c:pt idx="14">
                  <c:v>107.8799278004638</c:v>
                </c:pt>
                <c:pt idx="15">
                  <c:v>109.54350039401014</c:v>
                </c:pt>
                <c:pt idx="16">
                  <c:v>109.46187988212652</c:v>
                </c:pt>
                <c:pt idx="17">
                  <c:v>108.31654767349022</c:v>
                </c:pt>
                <c:pt idx="18">
                  <c:v>109.24319414725862</c:v>
                </c:pt>
                <c:pt idx="19">
                  <c:v>108.89289226554953</c:v>
                </c:pt>
                <c:pt idx="20">
                  <c:v>109.43816122443198</c:v>
                </c:pt>
                <c:pt idx="21">
                  <c:v>109.37666037830752</c:v>
                </c:pt>
                <c:pt idx="22">
                  <c:v>109.26867616646364</c:v>
                </c:pt>
                <c:pt idx="23">
                  <c:v>109.84253470786879</c:v>
                </c:pt>
                <c:pt idx="24">
                  <c:v>111.03705313962179</c:v>
                </c:pt>
                <c:pt idx="25">
                  <c:v>111.4160457803337</c:v>
                </c:pt>
                <c:pt idx="26">
                  <c:v>111.43717721089395</c:v>
                </c:pt>
                <c:pt idx="27">
                  <c:v>112.44759781019404</c:v>
                </c:pt>
                <c:pt idx="28">
                  <c:v>113.99129072859203</c:v>
                </c:pt>
                <c:pt idx="29">
                  <c:v>114.9083977056643</c:v>
                </c:pt>
                <c:pt idx="30">
                  <c:v>115.24301723295622</c:v>
                </c:pt>
                <c:pt idx="31">
                  <c:v>116.41177902362959</c:v>
                </c:pt>
                <c:pt idx="32">
                  <c:v>116.02412856697678</c:v>
                </c:pt>
                <c:pt idx="33">
                  <c:v>117.13407791514008</c:v>
                </c:pt>
                <c:pt idx="34">
                  <c:v>118.61891502967936</c:v>
                </c:pt>
                <c:pt idx="35">
                  <c:v>120.61781538587839</c:v>
                </c:pt>
                <c:pt idx="36">
                  <c:v>122.56020145104415</c:v>
                </c:pt>
                <c:pt idx="37">
                  <c:v>122.90314635727091</c:v>
                </c:pt>
                <c:pt idx="38">
                  <c:v>123.83684627708132</c:v>
                </c:pt>
                <c:pt idx="39">
                  <c:v>122.46474866895113</c:v>
                </c:pt>
                <c:pt idx="40">
                  <c:v>122.50904951345674</c:v>
                </c:pt>
                <c:pt idx="41">
                  <c:v>121.37502016302712</c:v>
                </c:pt>
                <c:pt idx="42">
                  <c:v>122.95291073170252</c:v>
                </c:pt>
                <c:pt idx="43">
                  <c:v>123.73621904071977</c:v>
                </c:pt>
                <c:pt idx="44">
                  <c:v>124.04558780933266</c:v>
                </c:pt>
                <c:pt idx="45">
                  <c:v>124.41670313837881</c:v>
                </c:pt>
                <c:pt idx="46">
                  <c:v>123.32690236354041</c:v>
                </c:pt>
                <c:pt idx="47">
                  <c:v>123.73737534334961</c:v>
                </c:pt>
                <c:pt idx="48">
                  <c:v>125.24970355291329</c:v>
                </c:pt>
                <c:pt idx="49">
                  <c:v>126.54521056559965</c:v>
                </c:pt>
                <c:pt idx="50">
                  <c:v>126.27543070827582</c:v>
                </c:pt>
                <c:pt idx="51">
                  <c:v>126.60212956255337</c:v>
                </c:pt>
                <c:pt idx="52">
                  <c:v>128.1923203004537</c:v>
                </c:pt>
                <c:pt idx="53">
                  <c:v>129.89324146894376</c:v>
                </c:pt>
                <c:pt idx="54">
                  <c:v>130.84844861766913</c:v>
                </c:pt>
                <c:pt idx="55">
                  <c:v>131.40040967802176</c:v>
                </c:pt>
                <c:pt idx="56">
                  <c:v>131.10500326366417</c:v>
                </c:pt>
                <c:pt idx="57">
                  <c:v>129.43158764398137</c:v>
                </c:pt>
                <c:pt idx="58">
                  <c:v>127.56784461142742</c:v>
                </c:pt>
                <c:pt idx="59">
                  <c:v>127.34898543116505</c:v>
                </c:pt>
                <c:pt idx="60">
                  <c:v>128.12824668097787</c:v>
                </c:pt>
                <c:pt idx="61">
                  <c:v>128.34862350844193</c:v>
                </c:pt>
                <c:pt idx="62">
                  <c:v>128.91479263735869</c:v>
                </c:pt>
                <c:pt idx="63">
                  <c:v>129.88349961928742</c:v>
                </c:pt>
                <c:pt idx="64">
                  <c:v>131.39708530796102</c:v>
                </c:pt>
                <c:pt idx="65">
                  <c:v>130.21745427256718</c:v>
                </c:pt>
                <c:pt idx="66">
                  <c:v>130.54027951303479</c:v>
                </c:pt>
                <c:pt idx="67">
                  <c:v>130.53259010054637</c:v>
                </c:pt>
                <c:pt idx="68">
                  <c:v>130.12612081859297</c:v>
                </c:pt>
                <c:pt idx="69">
                  <c:v>131.55058448207191</c:v>
                </c:pt>
                <c:pt idx="70">
                  <c:v>132.69445685863803</c:v>
                </c:pt>
                <c:pt idx="71">
                  <c:v>132.00415864240827</c:v>
                </c:pt>
                <c:pt idx="72">
                  <c:v>131.65083592007875</c:v>
                </c:pt>
                <c:pt idx="73">
                  <c:v>132.03683864548404</c:v>
                </c:pt>
                <c:pt idx="74">
                  <c:v>133.14898496864404</c:v>
                </c:pt>
                <c:pt idx="75">
                  <c:v>132.6873600512474</c:v>
                </c:pt>
                <c:pt idx="76">
                  <c:v>133.59757257388924</c:v>
                </c:pt>
                <c:pt idx="77">
                  <c:v>134.23510002884981</c:v>
                </c:pt>
                <c:pt idx="78">
                  <c:v>134.44921836832987</c:v>
                </c:pt>
                <c:pt idx="79">
                  <c:v>135.53975628609479</c:v>
                </c:pt>
                <c:pt idx="80">
                  <c:v>134.96385976130452</c:v>
                </c:pt>
                <c:pt idx="81">
                  <c:v>135.61760436064856</c:v>
                </c:pt>
                <c:pt idx="82">
                  <c:v>135.94694825719185</c:v>
                </c:pt>
                <c:pt idx="83">
                  <c:v>137.99071315542858</c:v>
                </c:pt>
                <c:pt idx="84">
                  <c:v>138.8738248351836</c:v>
                </c:pt>
                <c:pt idx="85">
                  <c:v>140.17572041989985</c:v>
                </c:pt>
                <c:pt idx="86">
                  <c:v>142.72915460980289</c:v>
                </c:pt>
                <c:pt idx="87">
                  <c:v>143.1349879253099</c:v>
                </c:pt>
                <c:pt idx="88">
                  <c:v>145.56965538134585</c:v>
                </c:pt>
                <c:pt idx="89">
                  <c:v>147.08428174238631</c:v>
                </c:pt>
                <c:pt idx="90">
                  <c:v>148.48041599143423</c:v>
                </c:pt>
                <c:pt idx="91">
                  <c:v>150.72516074051941</c:v>
                </c:pt>
                <c:pt idx="92">
                  <c:v>149.99044604952107</c:v>
                </c:pt>
                <c:pt idx="93">
                  <c:v>149.25548564421388</c:v>
                </c:pt>
                <c:pt idx="94">
                  <c:v>150.48230828068793</c:v>
                </c:pt>
                <c:pt idx="95">
                  <c:v>148.00971409839337</c:v>
                </c:pt>
                <c:pt idx="96">
                  <c:v>151.45532248991282</c:v>
                </c:pt>
                <c:pt idx="97">
                  <c:v>152.75736261245777</c:v>
                </c:pt>
                <c:pt idx="98">
                  <c:v>152.43073602709458</c:v>
                </c:pt>
                <c:pt idx="99">
                  <c:v>152.32515114320759</c:v>
                </c:pt>
                <c:pt idx="100">
                  <c:v>152.75986311689479</c:v>
                </c:pt>
                <c:pt idx="101">
                  <c:v>153.2325018168406</c:v>
                </c:pt>
                <c:pt idx="102">
                  <c:v>153.80263128226457</c:v>
                </c:pt>
                <c:pt idx="103">
                  <c:v>153.15354080100562</c:v>
                </c:pt>
                <c:pt idx="104">
                  <c:v>154.80067944342542</c:v>
                </c:pt>
                <c:pt idx="105">
                  <c:v>155.23193696300595</c:v>
                </c:pt>
                <c:pt idx="106">
                  <c:v>155.06314568661551</c:v>
                </c:pt>
                <c:pt idx="107">
                  <c:v>154.6411819494223</c:v>
                </c:pt>
                <c:pt idx="108">
                  <c:v>153.99279970352416</c:v>
                </c:pt>
                <c:pt idx="109">
                  <c:v>148.47849363831216</c:v>
                </c:pt>
                <c:pt idx="110">
                  <c:v>149.6668547585613</c:v>
                </c:pt>
                <c:pt idx="111">
                  <c:v>150.50822391337923</c:v>
                </c:pt>
                <c:pt idx="112">
                  <c:v>150.90707605175862</c:v>
                </c:pt>
                <c:pt idx="113">
                  <c:v>151.94552253604937</c:v>
                </c:pt>
                <c:pt idx="114">
                  <c:v>154.6207876617886</c:v>
                </c:pt>
                <c:pt idx="115">
                  <c:v>154.76182767506296</c:v>
                </c:pt>
                <c:pt idx="116">
                  <c:v>152.41732291658855</c:v>
                </c:pt>
                <c:pt idx="117">
                  <c:v>146.99901887721876</c:v>
                </c:pt>
                <c:pt idx="118">
                  <c:v>150.05845109793844</c:v>
                </c:pt>
                <c:pt idx="119">
                  <c:v>150.19577648901441</c:v>
                </c:pt>
                <c:pt idx="120">
                  <c:v>148.66399348770375</c:v>
                </c:pt>
                <c:pt idx="121">
                  <c:v>146.86509012511789</c:v>
                </c:pt>
                <c:pt idx="122">
                  <c:v>141.36134977518603</c:v>
                </c:pt>
                <c:pt idx="123">
                  <c:v>139.25841108986742</c:v>
                </c:pt>
                <c:pt idx="124">
                  <c:v>138.02483853679169</c:v>
                </c:pt>
                <c:pt idx="125">
                  <c:v>135.98241784036216</c:v>
                </c:pt>
                <c:pt idx="126">
                  <c:v>140.54682129516317</c:v>
                </c:pt>
                <c:pt idx="127">
                  <c:v>136.97154801749039</c:v>
                </c:pt>
                <c:pt idx="128">
                  <c:v>135.10534784184804</c:v>
                </c:pt>
                <c:pt idx="129">
                  <c:v>136.35742123700118</c:v>
                </c:pt>
                <c:pt idx="130">
                  <c:v>138.46909000717503</c:v>
                </c:pt>
                <c:pt idx="131">
                  <c:v>135.61727192364256</c:v>
                </c:pt>
                <c:pt idx="132">
                  <c:v>139.35390723330909</c:v>
                </c:pt>
                <c:pt idx="133">
                  <c:v>137.50986470681099</c:v>
                </c:pt>
                <c:pt idx="134">
                  <c:v>141.85241704829488</c:v>
                </c:pt>
                <c:pt idx="135">
                  <c:v>142.126142788343</c:v>
                </c:pt>
                <c:pt idx="136">
                  <c:v>140.41318161871973</c:v>
                </c:pt>
                <c:pt idx="137">
                  <c:v>137.66931883946543</c:v>
                </c:pt>
                <c:pt idx="138">
                  <c:v>138.38392831848751</c:v>
                </c:pt>
                <c:pt idx="139">
                  <c:v>139.40737177615614</c:v>
                </c:pt>
                <c:pt idx="140">
                  <c:v>137.2478121799717</c:v>
                </c:pt>
                <c:pt idx="141">
                  <c:v>134.66206339850103</c:v>
                </c:pt>
                <c:pt idx="142">
                  <c:v>138.55123845151314</c:v>
                </c:pt>
                <c:pt idx="143">
                  <c:v>142.17684725931232</c:v>
                </c:pt>
                <c:pt idx="144">
                  <c:v>142.46973156466649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10-4CB7-BF12-6B539BE9A0D9}"/>
            </c:ext>
          </c:extLst>
        </c:ser>
        <c:ser>
          <c:idx val="7"/>
          <c:order val="7"/>
          <c:tx>
            <c:strRef>
              <c:f>'Historical Returns'!$AH$4</c:f>
              <c:strCache>
                <c:ptCount val="1"/>
                <c:pt idx="0">
                  <c:v>Int'l Fixed Income (Hedged) [D]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Returns'!$AH$5:$AH$211</c:f>
              <c:numCache>
                <c:formatCode>General</c:formatCode>
                <c:ptCount val="207"/>
                <c:pt idx="0">
                  <c:v>101.33401561634886</c:v>
                </c:pt>
                <c:pt idx="1">
                  <c:v>102.02598394680606</c:v>
                </c:pt>
                <c:pt idx="2">
                  <c:v>102.22736377367458</c:v>
                </c:pt>
                <c:pt idx="3">
                  <c:v>103.20904372747246</c:v>
                </c:pt>
                <c:pt idx="4">
                  <c:v>104.71579995312536</c:v>
                </c:pt>
                <c:pt idx="5">
                  <c:v>104.86199935076775</c:v>
                </c:pt>
                <c:pt idx="6">
                  <c:v>106.55886939898883</c:v>
                </c:pt>
                <c:pt idx="7">
                  <c:v>107.13835012528399</c:v>
                </c:pt>
                <c:pt idx="8">
                  <c:v>107.86075391123624</c:v>
                </c:pt>
                <c:pt idx="9">
                  <c:v>108.48139004099589</c:v>
                </c:pt>
                <c:pt idx="10">
                  <c:v>109.28499815131192</c:v>
                </c:pt>
                <c:pt idx="11">
                  <c:v>109.65988019236704</c:v>
                </c:pt>
                <c:pt idx="12">
                  <c:v>109.32350949254268</c:v>
                </c:pt>
                <c:pt idx="13">
                  <c:v>110.22979056296829</c:v>
                </c:pt>
                <c:pt idx="14">
                  <c:v>111.0529130021617</c:v>
                </c:pt>
                <c:pt idx="15">
                  <c:v>112.52519582945169</c:v>
                </c:pt>
                <c:pt idx="16">
                  <c:v>111.0519789584378</c:v>
                </c:pt>
                <c:pt idx="17">
                  <c:v>109.67524161914901</c:v>
                </c:pt>
                <c:pt idx="18">
                  <c:v>110.36545682138599</c:v>
                </c:pt>
                <c:pt idx="19">
                  <c:v>110.18235551169862</c:v>
                </c:pt>
                <c:pt idx="20">
                  <c:v>111.25919296610472</c:v>
                </c:pt>
                <c:pt idx="21">
                  <c:v>112.49116789809555</c:v>
                </c:pt>
                <c:pt idx="22">
                  <c:v>112.54800086621778</c:v>
                </c:pt>
                <c:pt idx="23">
                  <c:v>112.14791401452138</c:v>
                </c:pt>
                <c:pt idx="24">
                  <c:v>114.02529878980985</c:v>
                </c:pt>
                <c:pt idx="25">
                  <c:v>114.79081228609502</c:v>
                </c:pt>
                <c:pt idx="26">
                  <c:v>115.1441538418871</c:v>
                </c:pt>
                <c:pt idx="27">
                  <c:v>116.17963471418048</c:v>
                </c:pt>
                <c:pt idx="28">
                  <c:v>117.54342477046595</c:v>
                </c:pt>
                <c:pt idx="29">
                  <c:v>118.18522776799908</c:v>
                </c:pt>
                <c:pt idx="30">
                  <c:v>118.72953097066257</c:v>
                </c:pt>
                <c:pt idx="31">
                  <c:v>120.42275106340878</c:v>
                </c:pt>
                <c:pt idx="32">
                  <c:v>120.28513049812265</c:v>
                </c:pt>
                <c:pt idx="33">
                  <c:v>121.43252417844029</c:v>
                </c:pt>
                <c:pt idx="34">
                  <c:v>122.85672530880564</c:v>
                </c:pt>
                <c:pt idx="35">
                  <c:v>123.77934495944741</c:v>
                </c:pt>
                <c:pt idx="36">
                  <c:v>126.47433413100669</c:v>
                </c:pt>
                <c:pt idx="37">
                  <c:v>125.96078252171401</c:v>
                </c:pt>
                <c:pt idx="38">
                  <c:v>126.94861279418603</c:v>
                </c:pt>
                <c:pt idx="39">
                  <c:v>126.49867674744132</c:v>
                </c:pt>
                <c:pt idx="40">
                  <c:v>126.16966343818044</c:v>
                </c:pt>
                <c:pt idx="41">
                  <c:v>124.82254246989035</c:v>
                </c:pt>
                <c:pt idx="42">
                  <c:v>126.33404076367987</c:v>
                </c:pt>
                <c:pt idx="43">
                  <c:v>126.20958302994873</c:v>
                </c:pt>
                <c:pt idx="44">
                  <c:v>127.16005155346558</c:v>
                </c:pt>
                <c:pt idx="45">
                  <c:v>127.78446696783108</c:v>
                </c:pt>
                <c:pt idx="46">
                  <c:v>128.04477776872471</c:v>
                </c:pt>
                <c:pt idx="47">
                  <c:v>127.92214501273099</c:v>
                </c:pt>
                <c:pt idx="48">
                  <c:v>130.03502376566476</c:v>
                </c:pt>
                <c:pt idx="49">
                  <c:v>131.4546840065417</c:v>
                </c:pt>
                <c:pt idx="50">
                  <c:v>132.67030598841291</c:v>
                </c:pt>
                <c:pt idx="51">
                  <c:v>133.07900041227245</c:v>
                </c:pt>
                <c:pt idx="52">
                  <c:v>133.83252940908508</c:v>
                </c:pt>
                <c:pt idx="53">
                  <c:v>136.47702273994105</c:v>
                </c:pt>
                <c:pt idx="54">
                  <c:v>137.4352079016075</c:v>
                </c:pt>
                <c:pt idx="55">
                  <c:v>137.50977333058</c:v>
                </c:pt>
                <c:pt idx="56">
                  <c:v>137.60668395940843</c:v>
                </c:pt>
                <c:pt idx="57">
                  <c:v>136.36275326775194</c:v>
                </c:pt>
                <c:pt idx="58">
                  <c:v>134.1457214546538</c:v>
                </c:pt>
                <c:pt idx="59">
                  <c:v>134.62248611112906</c:v>
                </c:pt>
                <c:pt idx="60">
                  <c:v>134.27640135657634</c:v>
                </c:pt>
                <c:pt idx="61">
                  <c:v>135.50469759328544</c:v>
                </c:pt>
                <c:pt idx="62">
                  <c:v>135.5389267032898</c:v>
                </c:pt>
                <c:pt idx="63">
                  <c:v>136.54277941810227</c:v>
                </c:pt>
                <c:pt idx="64">
                  <c:v>137.41918545926714</c:v>
                </c:pt>
                <c:pt idx="65">
                  <c:v>137.1219008968113</c:v>
                </c:pt>
                <c:pt idx="66">
                  <c:v>137.6227495114592</c:v>
                </c:pt>
                <c:pt idx="67">
                  <c:v>138.93989486116445</c:v>
                </c:pt>
                <c:pt idx="68">
                  <c:v>138.33815515443405</c:v>
                </c:pt>
                <c:pt idx="69">
                  <c:v>138.98176875980116</c:v>
                </c:pt>
                <c:pt idx="70">
                  <c:v>139.24400512775631</c:v>
                </c:pt>
                <c:pt idx="71">
                  <c:v>139.57679772162305</c:v>
                </c:pt>
                <c:pt idx="72">
                  <c:v>138.6206243464388</c:v>
                </c:pt>
                <c:pt idx="73">
                  <c:v>138.30069281615474</c:v>
                </c:pt>
                <c:pt idx="74">
                  <c:v>139.4563923006632</c:v>
                </c:pt>
                <c:pt idx="75">
                  <c:v>138.92190374205217</c:v>
                </c:pt>
                <c:pt idx="76">
                  <c:v>139.43360163380055</c:v>
                </c:pt>
                <c:pt idx="77">
                  <c:v>139.66514388799868</c:v>
                </c:pt>
                <c:pt idx="78">
                  <c:v>139.6900613005711</c:v>
                </c:pt>
                <c:pt idx="79">
                  <c:v>140.09887068365822</c:v>
                </c:pt>
                <c:pt idx="80">
                  <c:v>139.56691122805339</c:v>
                </c:pt>
                <c:pt idx="81">
                  <c:v>139.24992552797539</c:v>
                </c:pt>
                <c:pt idx="82">
                  <c:v>139.87531809577513</c:v>
                </c:pt>
                <c:pt idx="83">
                  <c:v>141.87928735050454</c:v>
                </c:pt>
                <c:pt idx="84">
                  <c:v>143.24859544971264</c:v>
                </c:pt>
                <c:pt idx="85">
                  <c:v>143.34671315043036</c:v>
                </c:pt>
                <c:pt idx="86">
                  <c:v>145.84115594952087</c:v>
                </c:pt>
                <c:pt idx="87">
                  <c:v>145.83900046400422</c:v>
                </c:pt>
                <c:pt idx="88">
                  <c:v>147.84877515972508</c:v>
                </c:pt>
                <c:pt idx="89">
                  <c:v>149.75666724002585</c:v>
                </c:pt>
                <c:pt idx="90">
                  <c:v>150.7890011034649</c:v>
                </c:pt>
                <c:pt idx="91">
                  <c:v>154.11132277978888</c:v>
                </c:pt>
                <c:pt idx="92">
                  <c:v>153.25530763161146</c:v>
                </c:pt>
                <c:pt idx="93">
                  <c:v>152.82478532442002</c:v>
                </c:pt>
                <c:pt idx="94">
                  <c:v>152.51798788588405</c:v>
                </c:pt>
                <c:pt idx="95">
                  <c:v>152.08588488931372</c:v>
                </c:pt>
                <c:pt idx="96">
                  <c:v>154.84275086510416</c:v>
                </c:pt>
                <c:pt idx="97">
                  <c:v>156.71974765299967</c:v>
                </c:pt>
                <c:pt idx="98">
                  <c:v>154.02395376684754</c:v>
                </c:pt>
                <c:pt idx="99">
                  <c:v>156.33822671655327</c:v>
                </c:pt>
                <c:pt idx="100">
                  <c:v>156.75754049905819</c:v>
                </c:pt>
                <c:pt idx="101">
                  <c:v>157.51267892505655</c:v>
                </c:pt>
                <c:pt idx="102">
                  <c:v>159.13619061619443</c:v>
                </c:pt>
                <c:pt idx="103">
                  <c:v>158.00240523443856</c:v>
                </c:pt>
                <c:pt idx="104">
                  <c:v>158.57921315869305</c:v>
                </c:pt>
                <c:pt idx="105">
                  <c:v>158.57677027510755</c:v>
                </c:pt>
                <c:pt idx="106">
                  <c:v>159.41784072370285</c:v>
                </c:pt>
                <c:pt idx="107">
                  <c:v>159.82623337959012</c:v>
                </c:pt>
                <c:pt idx="108">
                  <c:v>158.91230752053212</c:v>
                </c:pt>
                <c:pt idx="109">
                  <c:v>156.43522356480238</c:v>
                </c:pt>
                <c:pt idx="110">
                  <c:v>155.78412323974078</c:v>
                </c:pt>
                <c:pt idx="111">
                  <c:v>156.16233909839497</c:v>
                </c:pt>
                <c:pt idx="112">
                  <c:v>156.48896700368408</c:v>
                </c:pt>
                <c:pt idx="113">
                  <c:v>157.25057188623239</c:v>
                </c:pt>
                <c:pt idx="114">
                  <c:v>159.22212263879143</c:v>
                </c:pt>
                <c:pt idx="115">
                  <c:v>158.87623906288692</c:v>
                </c:pt>
                <c:pt idx="116">
                  <c:v>157.33046854938274</c:v>
                </c:pt>
                <c:pt idx="117">
                  <c:v>156.91833971859995</c:v>
                </c:pt>
                <c:pt idx="118">
                  <c:v>158.07971531496892</c:v>
                </c:pt>
                <c:pt idx="119">
                  <c:v>157.38334979405778</c:v>
                </c:pt>
                <c:pt idx="120">
                  <c:v>154.80625131035561</c:v>
                </c:pt>
                <c:pt idx="121">
                  <c:v>152.79647661463471</c:v>
                </c:pt>
                <c:pt idx="122">
                  <c:v>149.54485486325675</c:v>
                </c:pt>
                <c:pt idx="123">
                  <c:v>145.23402752899884</c:v>
                </c:pt>
                <c:pt idx="124">
                  <c:v>144.95295221762817</c:v>
                </c:pt>
                <c:pt idx="125">
                  <c:v>142.57392848300233</c:v>
                </c:pt>
                <c:pt idx="126">
                  <c:v>146.12266235799478</c:v>
                </c:pt>
                <c:pt idx="127">
                  <c:v>142.14980078284356</c:v>
                </c:pt>
                <c:pt idx="128">
                  <c:v>137.17871949503007</c:v>
                </c:pt>
                <c:pt idx="129">
                  <c:v>136.65322649597519</c:v>
                </c:pt>
                <c:pt idx="130">
                  <c:v>139.88817915935778</c:v>
                </c:pt>
                <c:pt idx="131">
                  <c:v>138.06047114027626</c:v>
                </c:pt>
                <c:pt idx="132">
                  <c:v>140.96026017572382</c:v>
                </c:pt>
                <c:pt idx="133">
                  <c:v>138.4266450198441</c:v>
                </c:pt>
                <c:pt idx="134">
                  <c:v>141.34928220176809</c:v>
                </c:pt>
                <c:pt idx="135">
                  <c:v>141.92610449592607</c:v>
                </c:pt>
                <c:pt idx="136">
                  <c:v>141.15399521395997</c:v>
                </c:pt>
                <c:pt idx="137">
                  <c:v>140.92196438304475</c:v>
                </c:pt>
                <c:pt idx="138">
                  <c:v>140.86162515848213</c:v>
                </c:pt>
                <c:pt idx="139">
                  <c:v>140.48618269119271</c:v>
                </c:pt>
                <c:pt idx="140">
                  <c:v>137.85361211374246</c:v>
                </c:pt>
                <c:pt idx="141">
                  <c:v>136.69371182141742</c:v>
                </c:pt>
                <c:pt idx="142">
                  <c:v>140.93354068098233</c:v>
                </c:pt>
                <c:pt idx="143">
                  <c:v>145.06007475212149</c:v>
                </c:pt>
                <c:pt idx="144">
                  <c:v>144.60487623754935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10-4CB7-BF12-6B539BE9A0D9}"/>
            </c:ext>
          </c:extLst>
        </c:ser>
        <c:ser>
          <c:idx val="8"/>
          <c:order val="8"/>
          <c:tx>
            <c:strRef>
              <c:f>'Historical Returns'!$AI$4</c:f>
              <c:strCache>
                <c:ptCount val="1"/>
                <c:pt idx="0">
                  <c:v>Cash [D]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'Historical Returns'!$Z$5:$Z$211</c:f>
              <c:numCache>
                <c:formatCode>m/d/yyyy</c:formatCode>
                <c:ptCount val="207"/>
                <c:pt idx="0">
                  <c:v>40939</c:v>
                </c:pt>
                <c:pt idx="1">
                  <c:v>40968</c:v>
                </c:pt>
                <c:pt idx="2">
                  <c:v>40998</c:v>
                </c:pt>
                <c:pt idx="3">
                  <c:v>41029</c:v>
                </c:pt>
                <c:pt idx="4">
                  <c:v>41060</c:v>
                </c:pt>
                <c:pt idx="5">
                  <c:v>41089</c:v>
                </c:pt>
                <c:pt idx="6">
                  <c:v>41121</c:v>
                </c:pt>
                <c:pt idx="7">
                  <c:v>41152</c:v>
                </c:pt>
                <c:pt idx="8">
                  <c:v>41180</c:v>
                </c:pt>
                <c:pt idx="9">
                  <c:v>41213</c:v>
                </c:pt>
                <c:pt idx="10">
                  <c:v>41243</c:v>
                </c:pt>
                <c:pt idx="11">
                  <c:v>41274</c:v>
                </c:pt>
                <c:pt idx="12">
                  <c:v>41305</c:v>
                </c:pt>
                <c:pt idx="13">
                  <c:v>41333</c:v>
                </c:pt>
                <c:pt idx="14">
                  <c:v>41362</c:v>
                </c:pt>
                <c:pt idx="15">
                  <c:v>41394</c:v>
                </c:pt>
                <c:pt idx="16">
                  <c:v>41425</c:v>
                </c:pt>
                <c:pt idx="17">
                  <c:v>41453</c:v>
                </c:pt>
                <c:pt idx="18">
                  <c:v>41486</c:v>
                </c:pt>
                <c:pt idx="19">
                  <c:v>41516</c:v>
                </c:pt>
                <c:pt idx="20">
                  <c:v>41547</c:v>
                </c:pt>
                <c:pt idx="21">
                  <c:v>41578</c:v>
                </c:pt>
                <c:pt idx="22">
                  <c:v>41607</c:v>
                </c:pt>
                <c:pt idx="23">
                  <c:v>41639</c:v>
                </c:pt>
                <c:pt idx="24">
                  <c:v>41670</c:v>
                </c:pt>
                <c:pt idx="25">
                  <c:v>41698</c:v>
                </c:pt>
                <c:pt idx="26">
                  <c:v>41729</c:v>
                </c:pt>
                <c:pt idx="27">
                  <c:v>41759</c:v>
                </c:pt>
                <c:pt idx="28">
                  <c:v>41789</c:v>
                </c:pt>
                <c:pt idx="29">
                  <c:v>41820</c:v>
                </c:pt>
                <c:pt idx="30">
                  <c:v>41851</c:v>
                </c:pt>
                <c:pt idx="31">
                  <c:v>41880</c:v>
                </c:pt>
                <c:pt idx="32">
                  <c:v>41912</c:v>
                </c:pt>
                <c:pt idx="33">
                  <c:v>41943</c:v>
                </c:pt>
                <c:pt idx="34">
                  <c:v>41971</c:v>
                </c:pt>
                <c:pt idx="35">
                  <c:v>42004</c:v>
                </c:pt>
                <c:pt idx="36">
                  <c:v>42034</c:v>
                </c:pt>
                <c:pt idx="37">
                  <c:v>42062</c:v>
                </c:pt>
                <c:pt idx="38">
                  <c:v>42094</c:v>
                </c:pt>
                <c:pt idx="39">
                  <c:v>42124</c:v>
                </c:pt>
                <c:pt idx="40">
                  <c:v>42153</c:v>
                </c:pt>
                <c:pt idx="41">
                  <c:v>42185</c:v>
                </c:pt>
                <c:pt idx="42">
                  <c:v>42216</c:v>
                </c:pt>
                <c:pt idx="43">
                  <c:v>42247</c:v>
                </c:pt>
                <c:pt idx="44">
                  <c:v>42277</c:v>
                </c:pt>
                <c:pt idx="45">
                  <c:v>42307</c:v>
                </c:pt>
                <c:pt idx="46">
                  <c:v>42338</c:v>
                </c:pt>
                <c:pt idx="47">
                  <c:v>42369</c:v>
                </c:pt>
                <c:pt idx="48">
                  <c:v>42398</c:v>
                </c:pt>
                <c:pt idx="49">
                  <c:v>42429</c:v>
                </c:pt>
                <c:pt idx="50">
                  <c:v>42460</c:v>
                </c:pt>
                <c:pt idx="51">
                  <c:v>42489</c:v>
                </c:pt>
                <c:pt idx="52">
                  <c:v>42521</c:v>
                </c:pt>
                <c:pt idx="53">
                  <c:v>42551</c:v>
                </c:pt>
                <c:pt idx="54">
                  <c:v>42580</c:v>
                </c:pt>
                <c:pt idx="55">
                  <c:v>42613</c:v>
                </c:pt>
                <c:pt idx="56">
                  <c:v>42643</c:v>
                </c:pt>
                <c:pt idx="57">
                  <c:v>42674</c:v>
                </c:pt>
                <c:pt idx="58">
                  <c:v>42704</c:v>
                </c:pt>
                <c:pt idx="59">
                  <c:v>42734</c:v>
                </c:pt>
                <c:pt idx="60">
                  <c:v>42766</c:v>
                </c:pt>
                <c:pt idx="61">
                  <c:v>42794</c:v>
                </c:pt>
                <c:pt idx="62">
                  <c:v>42825</c:v>
                </c:pt>
                <c:pt idx="63">
                  <c:v>42853</c:v>
                </c:pt>
                <c:pt idx="64">
                  <c:v>42886</c:v>
                </c:pt>
                <c:pt idx="65">
                  <c:v>42916</c:v>
                </c:pt>
                <c:pt idx="66">
                  <c:v>42947</c:v>
                </c:pt>
                <c:pt idx="67">
                  <c:v>42978</c:v>
                </c:pt>
                <c:pt idx="68">
                  <c:v>43007</c:v>
                </c:pt>
                <c:pt idx="69">
                  <c:v>43039</c:v>
                </c:pt>
                <c:pt idx="70">
                  <c:v>43069</c:v>
                </c:pt>
                <c:pt idx="71">
                  <c:v>43098</c:v>
                </c:pt>
                <c:pt idx="72">
                  <c:v>43131</c:v>
                </c:pt>
                <c:pt idx="73">
                  <c:v>43159</c:v>
                </c:pt>
                <c:pt idx="74">
                  <c:v>43189</c:v>
                </c:pt>
                <c:pt idx="75">
                  <c:v>43220</c:v>
                </c:pt>
                <c:pt idx="76">
                  <c:v>43251</c:v>
                </c:pt>
                <c:pt idx="77">
                  <c:v>43280</c:v>
                </c:pt>
                <c:pt idx="78">
                  <c:v>43312</c:v>
                </c:pt>
                <c:pt idx="79">
                  <c:v>43343</c:v>
                </c:pt>
                <c:pt idx="80">
                  <c:v>43371</c:v>
                </c:pt>
                <c:pt idx="81">
                  <c:v>43404</c:v>
                </c:pt>
                <c:pt idx="82">
                  <c:v>43434</c:v>
                </c:pt>
                <c:pt idx="83">
                  <c:v>43465</c:v>
                </c:pt>
                <c:pt idx="84">
                  <c:v>43496</c:v>
                </c:pt>
                <c:pt idx="85">
                  <c:v>43524</c:v>
                </c:pt>
                <c:pt idx="86">
                  <c:v>43553</c:v>
                </c:pt>
                <c:pt idx="87">
                  <c:v>43585</c:v>
                </c:pt>
                <c:pt idx="88">
                  <c:v>43616</c:v>
                </c:pt>
                <c:pt idx="89">
                  <c:v>43644</c:v>
                </c:pt>
                <c:pt idx="90">
                  <c:v>43677</c:v>
                </c:pt>
                <c:pt idx="91">
                  <c:v>43707</c:v>
                </c:pt>
                <c:pt idx="92">
                  <c:v>43738</c:v>
                </c:pt>
                <c:pt idx="93">
                  <c:v>43769</c:v>
                </c:pt>
                <c:pt idx="94">
                  <c:v>43798</c:v>
                </c:pt>
                <c:pt idx="95">
                  <c:v>43830</c:v>
                </c:pt>
                <c:pt idx="96">
                  <c:v>43861</c:v>
                </c:pt>
                <c:pt idx="97">
                  <c:v>43889</c:v>
                </c:pt>
                <c:pt idx="98">
                  <c:v>43921</c:v>
                </c:pt>
                <c:pt idx="99">
                  <c:v>43951</c:v>
                </c:pt>
                <c:pt idx="100">
                  <c:v>43980</c:v>
                </c:pt>
                <c:pt idx="101">
                  <c:v>44012</c:v>
                </c:pt>
                <c:pt idx="102">
                  <c:v>44043</c:v>
                </c:pt>
                <c:pt idx="103">
                  <c:v>44074</c:v>
                </c:pt>
                <c:pt idx="104">
                  <c:v>44104</c:v>
                </c:pt>
                <c:pt idx="105">
                  <c:v>44134</c:v>
                </c:pt>
                <c:pt idx="106">
                  <c:v>44165</c:v>
                </c:pt>
                <c:pt idx="107">
                  <c:v>44196</c:v>
                </c:pt>
                <c:pt idx="108">
                  <c:v>44225</c:v>
                </c:pt>
                <c:pt idx="109">
                  <c:v>44253</c:v>
                </c:pt>
                <c:pt idx="110">
                  <c:v>44286</c:v>
                </c:pt>
                <c:pt idx="111">
                  <c:v>44316</c:v>
                </c:pt>
                <c:pt idx="112">
                  <c:v>44347</c:v>
                </c:pt>
                <c:pt idx="113">
                  <c:v>44377</c:v>
                </c:pt>
                <c:pt idx="114">
                  <c:v>44407</c:v>
                </c:pt>
                <c:pt idx="115">
                  <c:v>44439</c:v>
                </c:pt>
                <c:pt idx="116">
                  <c:v>44469</c:v>
                </c:pt>
                <c:pt idx="117">
                  <c:v>44498</c:v>
                </c:pt>
                <c:pt idx="118">
                  <c:v>44530</c:v>
                </c:pt>
                <c:pt idx="119">
                  <c:v>44561</c:v>
                </c:pt>
                <c:pt idx="120">
                  <c:v>44592</c:v>
                </c:pt>
                <c:pt idx="121">
                  <c:v>44620</c:v>
                </c:pt>
                <c:pt idx="122">
                  <c:v>44651</c:v>
                </c:pt>
                <c:pt idx="123">
                  <c:v>44680</c:v>
                </c:pt>
                <c:pt idx="124">
                  <c:v>44712</c:v>
                </c:pt>
                <c:pt idx="125">
                  <c:v>44742</c:v>
                </c:pt>
                <c:pt idx="126">
                  <c:v>44771</c:v>
                </c:pt>
                <c:pt idx="127">
                  <c:v>44804</c:v>
                </c:pt>
                <c:pt idx="128">
                  <c:v>44834</c:v>
                </c:pt>
                <c:pt idx="129">
                  <c:v>44865</c:v>
                </c:pt>
                <c:pt idx="130">
                  <c:v>44895</c:v>
                </c:pt>
                <c:pt idx="131">
                  <c:v>44925</c:v>
                </c:pt>
                <c:pt idx="132">
                  <c:v>44957</c:v>
                </c:pt>
                <c:pt idx="133">
                  <c:v>44985</c:v>
                </c:pt>
                <c:pt idx="134">
                  <c:v>45016</c:v>
                </c:pt>
                <c:pt idx="135">
                  <c:v>45044</c:v>
                </c:pt>
                <c:pt idx="136">
                  <c:v>45077</c:v>
                </c:pt>
                <c:pt idx="137">
                  <c:v>45107</c:v>
                </c:pt>
                <c:pt idx="138">
                  <c:v>45138</c:v>
                </c:pt>
                <c:pt idx="139">
                  <c:v>45169</c:v>
                </c:pt>
                <c:pt idx="140">
                  <c:v>45198</c:v>
                </c:pt>
                <c:pt idx="141">
                  <c:v>45230</c:v>
                </c:pt>
                <c:pt idx="142">
                  <c:v>45260</c:v>
                </c:pt>
                <c:pt idx="143">
                  <c:v>45289</c:v>
                </c:pt>
                <c:pt idx="144">
                  <c:v>45322</c:v>
                </c:pt>
              </c:numCache>
            </c:numRef>
          </c:cat>
          <c:val>
            <c:numRef>
              <c:f>'Historical Returns'!$AI$5:$AI$211</c:f>
              <c:numCache>
                <c:formatCode>General</c:formatCode>
                <c:ptCount val="207"/>
                <c:pt idx="0">
                  <c:v>100.38936384990016</c:v>
                </c:pt>
                <c:pt idx="1">
                  <c:v>100.72311256549432</c:v>
                </c:pt>
                <c:pt idx="2">
                  <c:v>101.11639708068661</c:v>
                </c:pt>
                <c:pt idx="3">
                  <c:v>101.49893080380608</c:v>
                </c:pt>
                <c:pt idx="4">
                  <c:v>101.88561118807175</c:v>
                </c:pt>
                <c:pt idx="5">
                  <c:v>102.17474533925237</c:v>
                </c:pt>
                <c:pt idx="6">
                  <c:v>102.47359596854355</c:v>
                </c:pt>
                <c:pt idx="7">
                  <c:v>102.78010949649615</c:v>
                </c:pt>
                <c:pt idx="8">
                  <c:v>103.10202728882204</c:v>
                </c:pt>
                <c:pt idx="9">
                  <c:v>103.40780747232074</c:v>
                </c:pt>
                <c:pt idx="10">
                  <c:v>103.67081155827339</c:v>
                </c:pt>
                <c:pt idx="11">
                  <c:v>103.96888114481803</c:v>
                </c:pt>
                <c:pt idx="12">
                  <c:v>104.24797043865665</c:v>
                </c:pt>
                <c:pt idx="13">
                  <c:v>104.48207527118149</c:v>
                </c:pt>
                <c:pt idx="14">
                  <c:v>104.73942959514412</c:v>
                </c:pt>
                <c:pt idx="15">
                  <c:v>105.01320234323411</c:v>
                </c:pt>
                <c:pt idx="16">
                  <c:v>105.28295446115958</c:v>
                </c:pt>
                <c:pt idx="17">
                  <c:v>105.52503726979994</c:v>
                </c:pt>
                <c:pt idx="18">
                  <c:v>105.79218479222546</c:v>
                </c:pt>
                <c:pt idx="19">
                  <c:v>106.03696114360437</c:v>
                </c:pt>
                <c:pt idx="20">
                  <c:v>106.26073371977898</c:v>
                </c:pt>
                <c:pt idx="21">
                  <c:v>106.49234641728538</c:v>
                </c:pt>
                <c:pt idx="22">
                  <c:v>106.71936731436821</c:v>
                </c:pt>
                <c:pt idx="23">
                  <c:v>106.94856916549568</c:v>
                </c:pt>
                <c:pt idx="24">
                  <c:v>107.18840948257588</c:v>
                </c:pt>
                <c:pt idx="25">
                  <c:v>107.40205349426397</c:v>
                </c:pt>
                <c:pt idx="26">
                  <c:v>107.63616907569981</c:v>
                </c:pt>
                <c:pt idx="27">
                  <c:v>107.87452684922849</c:v>
                </c:pt>
                <c:pt idx="28">
                  <c:v>108.11709658353776</c:v>
                </c:pt>
                <c:pt idx="29">
                  <c:v>108.35518644045942</c:v>
                </c:pt>
                <c:pt idx="30">
                  <c:v>108.60431489154628</c:v>
                </c:pt>
                <c:pt idx="31">
                  <c:v>108.8504280043711</c:v>
                </c:pt>
                <c:pt idx="32">
                  <c:v>109.07615553873626</c:v>
                </c:pt>
                <c:pt idx="33">
                  <c:v>109.32828078621365</c:v>
                </c:pt>
                <c:pt idx="34">
                  <c:v>109.57413377539196</c:v>
                </c:pt>
                <c:pt idx="35">
                  <c:v>109.82813954485114</c:v>
                </c:pt>
                <c:pt idx="36">
                  <c:v>110.10427678464131</c:v>
                </c:pt>
                <c:pt idx="37">
                  <c:v>110.33436528656601</c:v>
                </c:pt>
                <c:pt idx="38">
                  <c:v>110.56086741433107</c:v>
                </c:pt>
                <c:pt idx="39">
                  <c:v>110.759569902265</c:v>
                </c:pt>
                <c:pt idx="40">
                  <c:v>110.9813806678183</c:v>
                </c:pt>
                <c:pt idx="41">
                  <c:v>111.17659123764814</c:v>
                </c:pt>
                <c:pt idx="42">
                  <c:v>111.37711163515722</c:v>
                </c:pt>
                <c:pt idx="43">
                  <c:v>111.57864135541045</c:v>
                </c:pt>
                <c:pt idx="44">
                  <c:v>111.77522644223617</c:v>
                </c:pt>
                <c:pt idx="45">
                  <c:v>111.98660216497767</c:v>
                </c:pt>
                <c:pt idx="46">
                  <c:v>112.17328871401251</c:v>
                </c:pt>
                <c:pt idx="47">
                  <c:v>112.38815689230363</c:v>
                </c:pt>
                <c:pt idx="48">
                  <c:v>112.61406393348273</c:v>
                </c:pt>
                <c:pt idx="49">
                  <c:v>112.81438547613809</c:v>
                </c:pt>
                <c:pt idx="50">
                  <c:v>113.03782980744263</c:v>
                </c:pt>
                <c:pt idx="51">
                  <c:v>113.26271771749627</c:v>
                </c:pt>
                <c:pt idx="52">
                  <c:v>113.48189311879185</c:v>
                </c:pt>
                <c:pt idx="53">
                  <c:v>113.66895816385575</c:v>
                </c:pt>
                <c:pt idx="54">
                  <c:v>113.86562279262294</c:v>
                </c:pt>
                <c:pt idx="55">
                  <c:v>114.05797280850935</c:v>
                </c:pt>
                <c:pt idx="56">
                  <c:v>114.21947116564378</c:v>
                </c:pt>
                <c:pt idx="57">
                  <c:v>114.38636910386438</c:v>
                </c:pt>
                <c:pt idx="58">
                  <c:v>114.55171180902272</c:v>
                </c:pt>
                <c:pt idx="59">
                  <c:v>114.71796266280033</c:v>
                </c:pt>
                <c:pt idx="60">
                  <c:v>114.8980653694781</c:v>
                </c:pt>
                <c:pt idx="61">
                  <c:v>115.05253823837417</c:v>
                </c:pt>
                <c:pt idx="62">
                  <c:v>115.22529178023072</c:v>
                </c:pt>
                <c:pt idx="63">
                  <c:v>115.39640799421716</c:v>
                </c:pt>
                <c:pt idx="64">
                  <c:v>115.56805251717989</c:v>
                </c:pt>
                <c:pt idx="65">
                  <c:v>115.73366555745024</c:v>
                </c:pt>
                <c:pt idx="66">
                  <c:v>115.90234297788911</c:v>
                </c:pt>
                <c:pt idx="67">
                  <c:v>116.06701898184185</c:v>
                </c:pt>
                <c:pt idx="68">
                  <c:v>116.23138326737522</c:v>
                </c:pt>
                <c:pt idx="69">
                  <c:v>116.40201551164328</c:v>
                </c:pt>
                <c:pt idx="70">
                  <c:v>116.55710079974435</c:v>
                </c:pt>
                <c:pt idx="71">
                  <c:v>116.72413457732789</c:v>
                </c:pt>
                <c:pt idx="72">
                  <c:v>116.90604941604114</c:v>
                </c:pt>
                <c:pt idx="73">
                  <c:v>117.06245265499383</c:v>
                </c:pt>
                <c:pt idx="74">
                  <c:v>117.22433501697421</c:v>
                </c:pt>
                <c:pt idx="75">
                  <c:v>117.41665547335536</c:v>
                </c:pt>
                <c:pt idx="76">
                  <c:v>117.61939686460258</c:v>
                </c:pt>
                <c:pt idx="77">
                  <c:v>117.79746224955916</c:v>
                </c:pt>
                <c:pt idx="78">
                  <c:v>118.02161439665393</c:v>
                </c:pt>
                <c:pt idx="79">
                  <c:v>118.2192075969713</c:v>
                </c:pt>
                <c:pt idx="80">
                  <c:v>118.40577201150474</c:v>
                </c:pt>
                <c:pt idx="81">
                  <c:v>118.60479078614526</c:v>
                </c:pt>
                <c:pt idx="82">
                  <c:v>118.78809989297831</c:v>
                </c:pt>
                <c:pt idx="83">
                  <c:v>118.96893607847136</c:v>
                </c:pt>
                <c:pt idx="84">
                  <c:v>119.18344242154549</c:v>
                </c:pt>
                <c:pt idx="85">
                  <c:v>119.38964052821325</c:v>
                </c:pt>
                <c:pt idx="86">
                  <c:v>119.58709587374683</c:v>
                </c:pt>
                <c:pt idx="87">
                  <c:v>119.78283878339464</c:v>
                </c:pt>
                <c:pt idx="88">
                  <c:v>119.9636596516895</c:v>
                </c:pt>
                <c:pt idx="89">
                  <c:v>120.12253648378915</c:v>
                </c:pt>
                <c:pt idx="90">
                  <c:v>120.26647085160492</c:v>
                </c:pt>
                <c:pt idx="91">
                  <c:v>120.36700098238727</c:v>
                </c:pt>
                <c:pt idx="92">
                  <c:v>120.46877328419862</c:v>
                </c:pt>
                <c:pt idx="93">
                  <c:v>120.56603803017651</c:v>
                </c:pt>
                <c:pt idx="94">
                  <c:v>120.6651569633042</c:v>
                </c:pt>
                <c:pt idx="95">
                  <c:v>120.75227151261214</c:v>
                </c:pt>
                <c:pt idx="96">
                  <c:v>120.85074457054934</c:v>
                </c:pt>
                <c:pt idx="97">
                  <c:v>120.94185946145231</c:v>
                </c:pt>
                <c:pt idx="98">
                  <c:v>121.06200890770047</c:v>
                </c:pt>
                <c:pt idx="99">
                  <c:v>121.11947822915627</c:v>
                </c:pt>
                <c:pt idx="100">
                  <c:v>121.13026207413047</c:v>
                </c:pt>
                <c:pt idx="101">
                  <c:v>121.13934597882786</c:v>
                </c:pt>
                <c:pt idx="102">
                  <c:v>121.15035393859665</c:v>
                </c:pt>
                <c:pt idx="103">
                  <c:v>121.16161355724456</c:v>
                </c:pt>
                <c:pt idx="104">
                  <c:v>121.17029719936809</c:v>
                </c:pt>
                <c:pt idx="105">
                  <c:v>121.18379071044738</c:v>
                </c:pt>
                <c:pt idx="106">
                  <c:v>121.19230116074222</c:v>
                </c:pt>
                <c:pt idx="107">
                  <c:v>121.19540974580728</c:v>
                </c:pt>
                <c:pt idx="108">
                  <c:v>121.19690774091841</c:v>
                </c:pt>
                <c:pt idx="109">
                  <c:v>121.19635511253094</c:v>
                </c:pt>
                <c:pt idx="110">
                  <c:v>121.19881150742029</c:v>
                </c:pt>
                <c:pt idx="111">
                  <c:v>121.20231350262844</c:v>
                </c:pt>
                <c:pt idx="112">
                  <c:v>121.2070837349748</c:v>
                </c:pt>
                <c:pt idx="113">
                  <c:v>121.21025291702571</c:v>
                </c:pt>
                <c:pt idx="114">
                  <c:v>121.2138809432155</c:v>
                </c:pt>
                <c:pt idx="115">
                  <c:v>121.21573015899395</c:v>
                </c:pt>
                <c:pt idx="116">
                  <c:v>121.21639699456095</c:v>
                </c:pt>
                <c:pt idx="117">
                  <c:v>121.21511424639291</c:v>
                </c:pt>
                <c:pt idx="118">
                  <c:v>121.22183782459317</c:v>
                </c:pt>
                <c:pt idx="119">
                  <c:v>121.22623641334125</c:v>
                </c:pt>
                <c:pt idx="120">
                  <c:v>121.23232325292534</c:v>
                </c:pt>
                <c:pt idx="121">
                  <c:v>121.23849191859452</c:v>
                </c:pt>
                <c:pt idx="122">
                  <c:v>121.24259155325504</c:v>
                </c:pt>
                <c:pt idx="123">
                  <c:v>121.2232232248614</c:v>
                </c:pt>
                <c:pt idx="124">
                  <c:v>121.26547571607976</c:v>
                </c:pt>
                <c:pt idx="125">
                  <c:v>121.32641196442154</c:v>
                </c:pt>
                <c:pt idx="126">
                  <c:v>121.47529687756594</c:v>
                </c:pt>
                <c:pt idx="127">
                  <c:v>121.66331790390311</c:v>
                </c:pt>
                <c:pt idx="128">
                  <c:v>121.84080190713526</c:v>
                </c:pt>
                <c:pt idx="129">
                  <c:v>122.13621530340716</c:v>
                </c:pt>
                <c:pt idx="130">
                  <c:v>122.44046578250727</c:v>
                </c:pt>
                <c:pt idx="131">
                  <c:v>122.74614868836133</c:v>
                </c:pt>
                <c:pt idx="132">
                  <c:v>123.07245055840542</c:v>
                </c:pt>
                <c:pt idx="133">
                  <c:v>123.36805904741217</c:v>
                </c:pt>
                <c:pt idx="134">
                  <c:v>123.71835490534309</c:v>
                </c:pt>
                <c:pt idx="135">
                  <c:v>124.09507346760434</c:v>
                </c:pt>
                <c:pt idx="136">
                  <c:v>124.46091534117252</c:v>
                </c:pt>
                <c:pt idx="137">
                  <c:v>124.83557011251918</c:v>
                </c:pt>
                <c:pt idx="138">
                  <c:v>125.301577594425</c:v>
                </c:pt>
                <c:pt idx="139">
                  <c:v>125.75936981800467</c:v>
                </c:pt>
                <c:pt idx="140">
                  <c:v>126.18229857870263</c:v>
                </c:pt>
                <c:pt idx="141">
                  <c:v>126.60324272676118</c:v>
                </c:pt>
                <c:pt idx="142">
                  <c:v>127.0447082341494</c:v>
                </c:pt>
                <c:pt idx="143">
                  <c:v>127.51185162632636</c:v>
                </c:pt>
                <c:pt idx="144">
                  <c:v>127.98147777586614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10-4CB7-BF12-6B539BE9A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942800"/>
        <c:axId val="796938880"/>
      </c:lineChart>
      <c:dateAx>
        <c:axId val="796942800"/>
        <c:scaling>
          <c:orientation val="minMax"/>
          <c:max val="45353"/>
          <c:min val="4087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938880"/>
        <c:crosses val="autoZero"/>
        <c:auto val="1"/>
        <c:lblOffset val="100"/>
        <c:baseTimeUnit val="months"/>
      </c:dateAx>
      <c:valAx>
        <c:axId val="79693888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94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454632073098271E-2"/>
          <c:y val="0.90149519513737253"/>
          <c:w val="0.89999994553694307"/>
          <c:h val="9.8447797219651731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705644</xdr:colOff>
      <xdr:row>12</xdr:row>
      <xdr:rowOff>152871</xdr:rowOff>
    </xdr:from>
    <xdr:to>
      <xdr:col>24</xdr:col>
      <xdr:colOff>648494</xdr:colOff>
      <xdr:row>48</xdr:row>
      <xdr:rowOff>113982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A4F920-4A9F-404E-B37F-D6F825F52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Data\Project\USYD\Teaching\FINC3600\2024%20S1%20FINC3600\FINC3600%202024%20S1%20AA%20Model%20Fixed%20Cov%20Matrix.xlsm" TargetMode="External"/><Relationship Id="rId1" Type="http://schemas.openxmlformats.org/officeDocument/2006/relationships/externalLinkPath" Target="/Data/Project/USYD/Teaching/FINC3600/2024%20S1%20FINC3600/FINC3600%202024%20S1%20AA%20Model%20Fixed%20Cov%20Matri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Portfolio Optimisation"/>
      <sheetName val="Monthly Raw Data"/>
      <sheetName val="Cost and Fees"/>
      <sheetName val="Current Portfolios"/>
      <sheetName val="APRA SRP"/>
    </sheetNames>
    <sheetDataSet>
      <sheetData sheetId="0" refreshError="1"/>
      <sheetData sheetId="1">
        <row r="4">
          <cell r="F4">
            <v>7.6499999999999999E-2</v>
          </cell>
          <cell r="O4">
            <v>1.0000000000000002</v>
          </cell>
          <cell r="P4">
            <v>0.9202056328709034</v>
          </cell>
          <cell r="Q4">
            <v>0.94387878905532363</v>
          </cell>
          <cell r="R4">
            <v>-8.428309605427288E-2</v>
          </cell>
          <cell r="S4">
            <v>0.43155339049894198</v>
          </cell>
          <cell r="T4">
            <v>0.91669493629431464</v>
          </cell>
          <cell r="U4">
            <v>0.8608216949840215</v>
          </cell>
          <cell r="V4">
            <v>-0.27873779279375521</v>
          </cell>
          <cell r="Y4">
            <v>0.14000000000000001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</row>
        <row r="5">
          <cell r="F5">
            <v>8.9499999999999996E-2</v>
          </cell>
          <cell r="O5">
            <v>0.9202056328709034</v>
          </cell>
          <cell r="P5">
            <v>1.0000000000000002</v>
          </cell>
          <cell r="Q5">
            <v>0.87014455929147994</v>
          </cell>
          <cell r="R5">
            <v>0.16175549634395633</v>
          </cell>
          <cell r="S5">
            <v>0.36425607393618986</v>
          </cell>
          <cell r="T5">
            <v>0.83694303801426972</v>
          </cell>
          <cell r="U5">
            <v>0.85961393308486622</v>
          </cell>
          <cell r="V5">
            <v>-8.8434247740600921E-2</v>
          </cell>
          <cell r="Y5">
            <v>0</v>
          </cell>
          <cell r="Z5">
            <v>0.16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</row>
        <row r="6">
          <cell r="F6">
            <v>6.8099999999999994E-2</v>
          </cell>
          <cell r="O6">
            <v>0.94387878905532363</v>
          </cell>
          <cell r="P6">
            <v>0.87014455929147994</v>
          </cell>
          <cell r="Q6">
            <v>1</v>
          </cell>
          <cell r="R6">
            <v>0.17111245126782632</v>
          </cell>
          <cell r="S6">
            <v>0.55830606534011751</v>
          </cell>
          <cell r="T6">
            <v>0.90522136950431964</v>
          </cell>
          <cell r="U6">
            <v>0.8308739437801681</v>
          </cell>
          <cell r="V6">
            <v>-0.29589414222181409</v>
          </cell>
          <cell r="Y6">
            <v>0</v>
          </cell>
          <cell r="Z6">
            <v>0</v>
          </cell>
          <cell r="AA6">
            <v>0.15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</row>
        <row r="7">
          <cell r="F7">
            <v>4.0500000000000001E-2</v>
          </cell>
          <cell r="O7">
            <v>-8.428309605427288E-2</v>
          </cell>
          <cell r="P7">
            <v>0.16175549634395633</v>
          </cell>
          <cell r="Q7">
            <v>0.17111245126782632</v>
          </cell>
          <cell r="R7">
            <v>1</v>
          </cell>
          <cell r="S7">
            <v>0.66558905057978901</v>
          </cell>
          <cell r="T7">
            <v>2.833157204652912E-3</v>
          </cell>
          <cell r="U7">
            <v>2.0208288299555746E-2</v>
          </cell>
          <cell r="V7">
            <v>0.22925104055850792</v>
          </cell>
          <cell r="Y7">
            <v>0</v>
          </cell>
          <cell r="Z7">
            <v>0</v>
          </cell>
          <cell r="AA7">
            <v>0</v>
          </cell>
          <cell r="AB7">
            <v>3.5000000000000003E-2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</row>
        <row r="8">
          <cell r="F8">
            <v>4.0300000000000002E-2</v>
          </cell>
          <cell r="O8">
            <v>0.43155339049894198</v>
          </cell>
          <cell r="P8">
            <v>0.36425607393618986</v>
          </cell>
          <cell r="Q8">
            <v>0.55830606534011751</v>
          </cell>
          <cell r="R8">
            <v>0.66558905057978901</v>
          </cell>
          <cell r="S8">
            <v>1</v>
          </cell>
          <cell r="T8">
            <v>0.47869964168273993</v>
          </cell>
          <cell r="U8">
            <v>0.43805757881470164</v>
          </cell>
          <cell r="V8">
            <v>8.2198154503138887E-2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0.03</v>
          </cell>
          <cell r="AD8">
            <v>0</v>
          </cell>
          <cell r="AE8">
            <v>0</v>
          </cell>
          <cell r="AF8">
            <v>0</v>
          </cell>
        </row>
        <row r="9">
          <cell r="F9">
            <v>7.3499999999999996E-2</v>
          </cell>
          <cell r="O9">
            <v>0.91669493629431464</v>
          </cell>
          <cell r="P9">
            <v>0.83694303801426972</v>
          </cell>
          <cell r="Q9">
            <v>0.90522136950431964</v>
          </cell>
          <cell r="R9">
            <v>2.833157204652912E-3</v>
          </cell>
          <cell r="S9">
            <v>0.47869964168273993</v>
          </cell>
          <cell r="T9">
            <v>1.0000000000000002</v>
          </cell>
          <cell r="U9">
            <v>0.85982010947361898</v>
          </cell>
          <cell r="V9">
            <v>-0.30523800754622726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0.12</v>
          </cell>
          <cell r="AE9">
            <v>0</v>
          </cell>
          <cell r="AF9">
            <v>0</v>
          </cell>
        </row>
        <row r="10">
          <cell r="F10">
            <v>3.7607870740213226E-2</v>
          </cell>
          <cell r="O10">
            <v>0.8608216949840215</v>
          </cell>
          <cell r="P10">
            <v>0.85961393308486622</v>
          </cell>
          <cell r="Q10">
            <v>0.8308739437801681</v>
          </cell>
          <cell r="R10">
            <v>2.0208288299555746E-2</v>
          </cell>
          <cell r="S10">
            <v>0.43805757881470164</v>
          </cell>
          <cell r="T10">
            <v>0.85982010947361898</v>
          </cell>
          <cell r="U10">
            <v>1.0000000000000002</v>
          </cell>
          <cell r="V10">
            <v>-0.21099845237259299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0.06</v>
          </cell>
          <cell r="AF10">
            <v>0</v>
          </cell>
        </row>
        <row r="11">
          <cell r="F11">
            <v>2.4999999999999998E-2</v>
          </cell>
          <cell r="O11">
            <v>-0.27873779279375521</v>
          </cell>
          <cell r="P11">
            <v>-8.8434247740600921E-2</v>
          </cell>
          <cell r="Q11">
            <v>-0.29589414222181409</v>
          </cell>
          <cell r="R11">
            <v>0.22925104055850792</v>
          </cell>
          <cell r="S11">
            <v>8.2198154503138887E-2</v>
          </cell>
          <cell r="T11">
            <v>-0.30523800754622726</v>
          </cell>
          <cell r="U11">
            <v>-0.21099845237259299</v>
          </cell>
          <cell r="V11">
            <v>1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5.0000000000000001E-3</v>
          </cell>
        </row>
      </sheetData>
      <sheetData sheetId="2" refreshError="1"/>
      <sheetData sheetId="3" refreshError="1"/>
      <sheetData sheetId="4" refreshError="1"/>
      <sheetData sheetId="5">
        <row r="13">
          <cell r="C13">
            <v>0.85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FAED3-CC5F-443B-8E91-B79A59D900C4}">
  <sheetPr codeName="Sheet1"/>
  <dimension ref="A1:BQ263"/>
  <sheetViews>
    <sheetView tabSelected="1" zoomScaleNormal="100" workbookViewId="0">
      <pane ySplit="4" topLeftCell="A44" activePane="bottomLeft" state="frozen"/>
      <selection pane="bottomLeft" activeCell="AQ22" sqref="AQ22"/>
    </sheetView>
  </sheetViews>
  <sheetFormatPr defaultRowHeight="14.5" x14ac:dyDescent="0.35"/>
  <cols>
    <col min="2" max="2" width="13.7265625" style="1" customWidth="1"/>
    <col min="8" max="8" width="9" customWidth="1"/>
    <col min="9" max="9" width="8.7265625" customWidth="1"/>
    <col min="12" max="12" width="9.81640625" customWidth="1"/>
    <col min="14" max="14" width="11" customWidth="1"/>
    <col min="15" max="15" width="10.54296875" customWidth="1"/>
    <col min="16" max="24" width="10.453125" customWidth="1"/>
    <col min="25" max="25" width="19" customWidth="1"/>
    <col min="26" max="26" width="12.26953125" customWidth="1"/>
    <col min="39" max="39" width="8" customWidth="1"/>
    <col min="41" max="41" width="12.453125" customWidth="1"/>
    <col min="42" max="42" width="35.81640625" customWidth="1"/>
    <col min="43" max="43" width="87" customWidth="1"/>
    <col min="44" max="44" width="17.453125" customWidth="1"/>
    <col min="45" max="45" width="10.453125" bestFit="1" customWidth="1"/>
  </cols>
  <sheetData>
    <row r="1" spans="1:69" x14ac:dyDescent="0.35">
      <c r="A1" t="s">
        <v>53</v>
      </c>
      <c r="B1" s="42">
        <v>40939</v>
      </c>
      <c r="C1">
        <f>MATCH(B1,$B5:$B149,0)</f>
        <v>1</v>
      </c>
    </row>
    <row r="2" spans="1:69" x14ac:dyDescent="0.35">
      <c r="A2" t="s">
        <v>52</v>
      </c>
      <c r="B2" s="41">
        <v>45322</v>
      </c>
      <c r="C2">
        <f>MATCH(B2,$B6:$B150,0)</f>
        <v>144</v>
      </c>
    </row>
    <row r="3" spans="1:69" ht="31.9" customHeight="1" x14ac:dyDescent="0.35">
      <c r="B3" s="44" t="s">
        <v>51</v>
      </c>
      <c r="C3" s="45"/>
      <c r="D3" s="45"/>
      <c r="E3" s="45"/>
      <c r="F3" s="45"/>
      <c r="G3" s="45"/>
      <c r="H3" s="45"/>
      <c r="I3" s="45"/>
      <c r="J3" s="45"/>
      <c r="K3" s="45"/>
      <c r="L3" s="46"/>
      <c r="N3" s="47" t="s">
        <v>50</v>
      </c>
      <c r="O3" s="48"/>
      <c r="P3" s="48"/>
      <c r="Q3" s="48"/>
      <c r="R3" s="48"/>
      <c r="S3" s="48"/>
      <c r="T3" s="48"/>
      <c r="U3" s="48"/>
      <c r="V3" s="48"/>
      <c r="W3" s="48"/>
      <c r="X3" s="49"/>
      <c r="Z3" s="44" t="s">
        <v>49</v>
      </c>
      <c r="AA3" s="45"/>
      <c r="AB3" s="45"/>
      <c r="AC3" s="45"/>
      <c r="AD3" s="45"/>
      <c r="AE3" s="45"/>
      <c r="AF3" s="45"/>
      <c r="AG3" s="45"/>
      <c r="AH3" s="45"/>
      <c r="AI3" s="45"/>
      <c r="AJ3" s="46"/>
    </row>
    <row r="4" spans="1:69" s="34" customFormat="1" ht="81.5" x14ac:dyDescent="0.35">
      <c r="B4" s="39" t="s">
        <v>48</v>
      </c>
      <c r="C4" s="38" t="s">
        <v>47</v>
      </c>
      <c r="D4" s="38" t="s">
        <v>46</v>
      </c>
      <c r="E4" s="43" t="s">
        <v>45</v>
      </c>
      <c r="F4" s="38" t="s">
        <v>44</v>
      </c>
      <c r="G4" s="38" t="s">
        <v>43</v>
      </c>
      <c r="H4" s="38" t="s">
        <v>42</v>
      </c>
      <c r="I4" s="38" t="s">
        <v>41</v>
      </c>
      <c r="J4" s="38" t="s">
        <v>40</v>
      </c>
      <c r="K4" s="37" t="s">
        <v>39</v>
      </c>
      <c r="L4" s="37"/>
      <c r="M4" s="40"/>
      <c r="N4" s="39"/>
      <c r="O4" s="38" t="str">
        <f t="shared" ref="O4:W4" si="0">C4</f>
        <v>Australian Listed Equity [G]</v>
      </c>
      <c r="P4" s="38" t="str">
        <f t="shared" si="0"/>
        <v>Int'l Listed Equity (Hedged) [G]</v>
      </c>
      <c r="Q4" s="43" t="str">
        <f t="shared" si="0"/>
        <v>Int'l Listed Equity (Unhedged) [G]</v>
      </c>
      <c r="R4" s="38" t="str">
        <f t="shared" si="0"/>
        <v>Australian Listed Property [G]</v>
      </c>
      <c r="S4" s="38" t="str">
        <f t="shared" si="0"/>
        <v>Int'l Listed Property [G]</v>
      </c>
      <c r="T4" s="38" t="str">
        <f t="shared" si="0"/>
        <v>Int'l Listed Infrastructure [G]</v>
      </c>
      <c r="U4" s="38" t="str">
        <f t="shared" si="0"/>
        <v>Australian Fixed Income [D]</v>
      </c>
      <c r="V4" s="38" t="str">
        <f t="shared" si="0"/>
        <v>Int'l Fixed Income (Hedged) [D]</v>
      </c>
      <c r="W4" s="38" t="str">
        <f t="shared" si="0"/>
        <v>Cash [D]</v>
      </c>
      <c r="X4" s="37"/>
      <c r="Y4"/>
      <c r="Z4" s="35" t="s">
        <v>38</v>
      </c>
      <c r="AA4" s="35" t="str">
        <f t="shared" ref="AA4:AI4" si="1">C4</f>
        <v>Australian Listed Equity [G]</v>
      </c>
      <c r="AB4" s="35" t="str">
        <f t="shared" si="1"/>
        <v>Int'l Listed Equity (Hedged) [G]</v>
      </c>
      <c r="AC4" s="35" t="str">
        <f t="shared" si="1"/>
        <v>Int'l Listed Equity (Unhedged) [G]</v>
      </c>
      <c r="AD4" s="35" t="str">
        <f t="shared" si="1"/>
        <v>Australian Listed Property [G]</v>
      </c>
      <c r="AE4" s="35" t="str">
        <f t="shared" si="1"/>
        <v>Int'l Listed Property [G]</v>
      </c>
      <c r="AF4" s="35" t="str">
        <f t="shared" si="1"/>
        <v>Int'l Listed Infrastructure [G]</v>
      </c>
      <c r="AG4" s="35" t="str">
        <f t="shared" si="1"/>
        <v>Australian Fixed Income [D]</v>
      </c>
      <c r="AH4" s="35" t="str">
        <f t="shared" si="1"/>
        <v>Int'l Fixed Income (Hedged) [D]</v>
      </c>
      <c r="AI4" s="35" t="str">
        <f t="shared" si="1"/>
        <v>Cash [D]</v>
      </c>
      <c r="AJ4" s="35"/>
      <c r="AK4" s="35"/>
      <c r="AL4" s="35"/>
      <c r="AM4" s="35"/>
      <c r="AN4" s="35"/>
      <c r="AO4" s="36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</row>
    <row r="5" spans="1:69" x14ac:dyDescent="0.35">
      <c r="A5">
        <v>1</v>
      </c>
      <c r="B5" s="1">
        <v>40939</v>
      </c>
      <c r="C5" s="2">
        <v>5.1319012811632883E-2</v>
      </c>
      <c r="D5" s="2">
        <v>4.9423753772550538E-2</v>
      </c>
      <c r="E5" s="3">
        <v>1.9929781691692641E-2</v>
      </c>
      <c r="F5" s="3">
        <v>5.4023927516007722E-2</v>
      </c>
      <c r="G5" s="3">
        <v>1.2E-2</v>
      </c>
      <c r="H5" s="3">
        <v>-8.3068685022713183E-4</v>
      </c>
      <c r="I5" s="3">
        <v>1.358221976572143E-3</v>
      </c>
      <c r="J5" s="2">
        <v>1.3340156163488732E-2</v>
      </c>
      <c r="K5" s="2">
        <v>3.8936384990015237E-3</v>
      </c>
      <c r="L5" s="3"/>
      <c r="N5" s="22" t="s">
        <v>37</v>
      </c>
      <c r="O5" s="33">
        <f t="shared" ref="O5:W5" ca="1" si="2">AVERAGE(OFFSET($B$4,$C$1,O$10,$C$2-$C$1+1,1))</f>
        <v>8.5459028953398537E-3</v>
      </c>
      <c r="P5" s="33">
        <f t="shared" ca="1" si="2"/>
        <v>9.6427660807176917E-3</v>
      </c>
      <c r="Q5" s="33">
        <f t="shared" ca="1" si="2"/>
        <v>1.1335577943065965E-2</v>
      </c>
      <c r="R5" s="33">
        <f t="shared" ca="1" si="2"/>
        <v>1.0126890510124489E-2</v>
      </c>
      <c r="S5" s="33">
        <f t="shared" ca="1" si="2"/>
        <v>6.3004105688862526E-3</v>
      </c>
      <c r="T5" s="33">
        <f t="shared" ca="1" si="2"/>
        <v>7.8827273547437179E-3</v>
      </c>
      <c r="U5" s="33">
        <f t="shared" ca="1" si="2"/>
        <v>2.5189673504903338E-3</v>
      </c>
      <c r="V5" s="33">
        <f t="shared" ca="1" si="2"/>
        <v>2.6456462980971752E-3</v>
      </c>
      <c r="W5" s="33">
        <f t="shared" ca="1" si="2"/>
        <v>1.6897220666875689E-3</v>
      </c>
      <c r="X5" s="32"/>
      <c r="Z5" s="1">
        <f t="shared" ref="Z5:Z36" si="3">B5</f>
        <v>40939</v>
      </c>
      <c r="AA5">
        <f>IF($Z5&lt;$B$1,100,100*(1+C5))</f>
        <v>105.13190128116329</v>
      </c>
      <c r="AB5">
        <f t="shared" ref="AB5:AI5" si="4">IF($Z5&lt;$B$1,100,100*(1+D5))</f>
        <v>104.94237537725506</v>
      </c>
      <c r="AC5">
        <f t="shared" si="4"/>
        <v>101.99297816916926</v>
      </c>
      <c r="AD5">
        <f t="shared" si="4"/>
        <v>105.40239275160077</v>
      </c>
      <c r="AE5">
        <f t="shared" si="4"/>
        <v>101.2</v>
      </c>
      <c r="AF5">
        <f t="shared" si="4"/>
        <v>99.91693131497729</v>
      </c>
      <c r="AG5">
        <f t="shared" si="4"/>
        <v>100.13582219765722</v>
      </c>
      <c r="AH5">
        <f t="shared" si="4"/>
        <v>101.33401561634886</v>
      </c>
      <c r="AI5">
        <f t="shared" si="4"/>
        <v>100.38936384990016</v>
      </c>
    </row>
    <row r="6" spans="1:69" x14ac:dyDescent="0.35">
      <c r="A6">
        <f t="shared" ref="A6:A37" si="5">A5+1</f>
        <v>2</v>
      </c>
      <c r="B6" s="1">
        <v>40968</v>
      </c>
      <c r="C6" s="2">
        <v>2.0354930580718023E-2</v>
      </c>
      <c r="D6" s="2">
        <v>5.0403991812562943E-2</v>
      </c>
      <c r="E6" s="3">
        <v>3.4027180656701184E-2</v>
      </c>
      <c r="F6" s="3">
        <v>2.254077142768085E-2</v>
      </c>
      <c r="G6" s="3">
        <v>8.8500000000000245E-3</v>
      </c>
      <c r="H6" s="3">
        <v>1.6857776896659793E-2</v>
      </c>
      <c r="I6" s="3">
        <v>-2.1208137816377537E-3</v>
      </c>
      <c r="J6" s="2">
        <v>6.8285888627663827E-3</v>
      </c>
      <c r="K6" s="2">
        <v>3.3245425889256719E-3</v>
      </c>
      <c r="N6" s="22" t="s">
        <v>36</v>
      </c>
      <c r="O6" s="31">
        <f t="shared" ref="O6:W6" ca="1" si="6">STDEV(OFFSET($B$4,$C$1,O$10,$C$2-$C$1+1,1))</f>
        <v>3.9398090081027341E-2</v>
      </c>
      <c r="P6" s="31">
        <f t="shared" ca="1" si="6"/>
        <v>3.7778055811196622E-2</v>
      </c>
      <c r="Q6" s="31">
        <f t="shared" ca="1" si="6"/>
        <v>3.0122380751884219E-2</v>
      </c>
      <c r="R6" s="31">
        <f t="shared" ca="1" si="6"/>
        <v>5.453956405910157E-2</v>
      </c>
      <c r="S6" s="31">
        <f t="shared" ca="1" si="6"/>
        <v>4.5025226796137227E-2</v>
      </c>
      <c r="T6" s="31">
        <f t="shared" ca="1" si="6"/>
        <v>3.4036341167974792E-2</v>
      </c>
      <c r="U6" s="31">
        <f t="shared" ca="1" si="6"/>
        <v>1.2051059651799766E-2</v>
      </c>
      <c r="V6" s="31">
        <f t="shared" ca="1" si="6"/>
        <v>1.0909262163772984E-2</v>
      </c>
      <c r="W6" s="31">
        <f t="shared" ca="1" si="6"/>
        <v>1.0293755771225237E-3</v>
      </c>
      <c r="X6" s="30"/>
      <c r="Z6" s="1">
        <f t="shared" si="3"/>
        <v>40968</v>
      </c>
      <c r="AA6">
        <f t="shared" ref="AA6:AA37" si="7">IF($Z6&lt;$B$1,100,AA5*(1+C6))</f>
        <v>107.27185383356027</v>
      </c>
      <c r="AB6">
        <f t="shared" ref="AB6:AB37" si="8">IF($Z6&lt;$B$1,100,AB5*(1+D6))</f>
        <v>110.23189000656113</v>
      </c>
      <c r="AC6">
        <f t="shared" ref="AC6:AC37" si="9">IF($Z6&lt;$B$1,100,AC5*(1+E6))</f>
        <v>105.46351166304656</v>
      </c>
      <c r="AD6">
        <f t="shared" ref="AD6:AD37" si="10">IF($Z6&lt;$B$1,100,AD5*(1+F6))</f>
        <v>107.77824399454525</v>
      </c>
      <c r="AE6">
        <f t="shared" ref="AE6:AE37" si="11">IF($Z6&lt;$B$1,100,AE5*(1+G6))</f>
        <v>102.09562000000001</v>
      </c>
      <c r="AF6">
        <f t="shared" ref="AF6:AF37" si="12">IF($Z6&lt;$B$1,100,AF5*(1+H6))</f>
        <v>101.60130865128406</v>
      </c>
      <c r="AG6">
        <f t="shared" ref="AG6:AG37" si="13">IF($Z6&lt;$B$1,100,AG5*(1+I6))</f>
        <v>99.923452765904798</v>
      </c>
      <c r="AH6">
        <f t="shared" ref="AH6:AH37" si="14">IF($Z6&lt;$B$1,100,AH5*(1+J6))</f>
        <v>102.02598394680606</v>
      </c>
      <c r="AI6">
        <f t="shared" ref="AI6:AI37" si="15">IF($Z6&lt;$B$1,100,AI5*(1+K6))</f>
        <v>100.72311256549432</v>
      </c>
      <c r="AM6" s="28" t="s">
        <v>20</v>
      </c>
      <c r="AN6" s="28" t="s">
        <v>35</v>
      </c>
      <c r="AO6" s="29" t="s">
        <v>34</v>
      </c>
      <c r="AP6" s="28" t="s">
        <v>33</v>
      </c>
      <c r="AQ6" s="28" t="s">
        <v>32</v>
      </c>
      <c r="AR6" s="28" t="s">
        <v>31</v>
      </c>
      <c r="AS6" s="28" t="s">
        <v>55</v>
      </c>
    </row>
    <row r="7" spans="1:69" x14ac:dyDescent="0.35">
      <c r="A7">
        <f t="shared" si="5"/>
        <v>3</v>
      </c>
      <c r="B7" s="1">
        <v>40998</v>
      </c>
      <c r="C7" s="2">
        <v>1.2174026864122389E-2</v>
      </c>
      <c r="D7" s="2">
        <v>1.7091955572689166E-2</v>
      </c>
      <c r="E7" s="3">
        <v>5.1277093284754827E-2</v>
      </c>
      <c r="F7" s="3">
        <v>-5.9444019247414381E-3</v>
      </c>
      <c r="G7" s="3">
        <v>4.7777172027556158E-2</v>
      </c>
      <c r="H7" s="3">
        <v>1.5182103482324294E-2</v>
      </c>
      <c r="I7" s="3">
        <v>8.615123179815054E-3</v>
      </c>
      <c r="J7" s="2">
        <v>1.9738092109311545E-3</v>
      </c>
      <c r="K7" s="2">
        <v>3.9046104233182444E-3</v>
      </c>
      <c r="N7" s="22"/>
      <c r="X7" s="27"/>
      <c r="Z7" s="1">
        <f t="shared" si="3"/>
        <v>40998</v>
      </c>
      <c r="AA7">
        <f t="shared" si="7"/>
        <v>108.57778426389424</v>
      </c>
      <c r="AB7">
        <f t="shared" si="8"/>
        <v>112.11596857324683</v>
      </c>
      <c r="AC7">
        <f t="shared" si="9"/>
        <v>110.87137398873043</v>
      </c>
      <c r="AD7">
        <f t="shared" si="10"/>
        <v>107.13756679349882</v>
      </c>
      <c r="AE7">
        <f t="shared" si="11"/>
        <v>106.97346000000002</v>
      </c>
      <c r="AF7">
        <f t="shared" si="12"/>
        <v>103.14383023316742</v>
      </c>
      <c r="AG7">
        <f t="shared" si="13"/>
        <v>100.7843056200355</v>
      </c>
      <c r="AH7">
        <f t="shared" si="14"/>
        <v>102.22736377367458</v>
      </c>
      <c r="AI7">
        <f t="shared" si="15"/>
        <v>101.11639708068661</v>
      </c>
      <c r="AM7" s="26">
        <v>1</v>
      </c>
      <c r="AN7" s="25" t="s">
        <v>30</v>
      </c>
      <c r="AO7" s="25">
        <v>1</v>
      </c>
      <c r="AP7" s="24" t="str">
        <f>C4</f>
        <v>Australian Listed Equity [G]</v>
      </c>
      <c r="AQ7" s="23" t="s">
        <v>29</v>
      </c>
      <c r="AR7" s="23" t="s">
        <v>28</v>
      </c>
      <c r="AS7" s="23" t="s">
        <v>56</v>
      </c>
    </row>
    <row r="8" spans="1:69" x14ac:dyDescent="0.35">
      <c r="A8">
        <f t="shared" si="5"/>
        <v>4</v>
      </c>
      <c r="B8" s="1">
        <v>41029</v>
      </c>
      <c r="C8" s="2">
        <v>1.303132463181389E-2</v>
      </c>
      <c r="D8" s="2">
        <v>-1.1757663772580362E-2</v>
      </c>
      <c r="E8" s="3">
        <v>-1.6970846975434939E-2</v>
      </c>
      <c r="F8" s="3">
        <v>5.4195854337082627E-2</v>
      </c>
      <c r="G8" s="3">
        <v>2.4246724374438422E-2</v>
      </c>
      <c r="H8" s="3">
        <v>1.9471307235297219E-2</v>
      </c>
      <c r="I8" s="3">
        <v>1.5939928296352157E-2</v>
      </c>
      <c r="J8" s="2">
        <v>9.6029078473671703E-3</v>
      </c>
      <c r="K8" s="2">
        <v>3.7831027821750851E-3</v>
      </c>
      <c r="N8" s="22" t="s">
        <v>27</v>
      </c>
      <c r="O8" s="21">
        <f t="shared" ref="O8:W8" ca="1" si="16">(1+O5)^12 - 1</f>
        <v>0.1075109617455543</v>
      </c>
      <c r="P8" s="21">
        <f t="shared" ca="1" si="16"/>
        <v>0.1220516681158601</v>
      </c>
      <c r="Q8" s="21">
        <f t="shared" ca="1" si="16"/>
        <v>0.14483639523575054</v>
      </c>
      <c r="R8" s="21">
        <f t="shared" ca="1" si="16"/>
        <v>0.12852501719042508</v>
      </c>
      <c r="S8" s="21">
        <f t="shared" ca="1" si="16"/>
        <v>7.8280617258188689E-2</v>
      </c>
      <c r="T8" s="21">
        <f t="shared" ca="1" si="16"/>
        <v>9.8803490247579839E-2</v>
      </c>
      <c r="U8" s="21">
        <f t="shared" ca="1" si="16"/>
        <v>3.0649927521170017E-2</v>
      </c>
      <c r="V8" s="21">
        <f t="shared" ca="1" si="16"/>
        <v>3.2213817229254538E-2</v>
      </c>
      <c r="W8" s="21">
        <f t="shared" ca="1" si="16"/>
        <v>2.0466170824283036E-2</v>
      </c>
      <c r="X8" s="20"/>
      <c r="Z8" s="1">
        <f t="shared" si="3"/>
        <v>41029</v>
      </c>
      <c r="AA8">
        <f t="shared" si="7"/>
        <v>109.99269661844011</v>
      </c>
      <c r="AB8">
        <f t="shared" si="8"/>
        <v>110.79774671122541</v>
      </c>
      <c r="AC8">
        <f t="shared" si="9"/>
        <v>108.98979286681147</v>
      </c>
      <c r="AD8">
        <f t="shared" si="10"/>
        <v>112.94397875746874</v>
      </c>
      <c r="AE8">
        <f t="shared" si="11"/>
        <v>109.56721600000003</v>
      </c>
      <c r="AF8">
        <f t="shared" si="12"/>
        <v>105.15217544106277</v>
      </c>
      <c r="AG8">
        <f t="shared" si="13"/>
        <v>102.39080022501651</v>
      </c>
      <c r="AH8">
        <f t="shared" si="14"/>
        <v>103.20904372747246</v>
      </c>
      <c r="AI8">
        <f t="shared" si="15"/>
        <v>101.49893080380608</v>
      </c>
      <c r="AM8" s="11">
        <v>2</v>
      </c>
      <c r="AN8" s="10" t="s">
        <v>23</v>
      </c>
      <c r="AO8" s="10">
        <v>1</v>
      </c>
      <c r="AP8" s="9" t="str">
        <f>D4</f>
        <v>Int'l Listed Equity (Hedged) [G]</v>
      </c>
      <c r="AQ8" s="8" t="s">
        <v>26</v>
      </c>
      <c r="AR8" s="8" t="s">
        <v>25</v>
      </c>
      <c r="AS8" s="9" t="s">
        <v>56</v>
      </c>
    </row>
    <row r="9" spans="1:69" x14ac:dyDescent="0.35">
      <c r="A9">
        <f t="shared" si="5"/>
        <v>5</v>
      </c>
      <c r="B9" s="1">
        <v>41060</v>
      </c>
      <c r="C9" s="2">
        <v>-6.7373639888679393E-2</v>
      </c>
      <c r="D9" s="2">
        <v>-6.7643401370922507E-2</v>
      </c>
      <c r="E9" s="3">
        <v>-2.1125718141556282E-2</v>
      </c>
      <c r="F9" s="3">
        <v>-1.2369972455925859E-2</v>
      </c>
      <c r="G9" s="3">
        <v>-3.7360993091218098E-2</v>
      </c>
      <c r="H9" s="3">
        <v>-2.0381623723869646E-2</v>
      </c>
      <c r="I9" s="3">
        <v>3.0965636149222764E-2</v>
      </c>
      <c r="J9" s="2">
        <v>1.4599071663056407E-2</v>
      </c>
      <c r="K9" s="2">
        <v>3.8096990894722627E-3</v>
      </c>
      <c r="N9" s="19" t="s">
        <v>24</v>
      </c>
      <c r="O9" s="18">
        <f t="shared" ref="O9:W9" ca="1" si="17">O6*SQRT(12)</f>
        <v>0.13647898748302956</v>
      </c>
      <c r="P9" s="18">
        <f t="shared" ca="1" si="17"/>
        <v>0.13086702415233045</v>
      </c>
      <c r="Q9" s="18">
        <f t="shared" ca="1" si="17"/>
        <v>0.10434698781439652</v>
      </c>
      <c r="R9" s="18">
        <f t="shared" ca="1" si="17"/>
        <v>0.18893059194604275</v>
      </c>
      <c r="S9" s="18">
        <f t="shared" ca="1" si="17"/>
        <v>0.15597196086644266</v>
      </c>
      <c r="T9" s="18">
        <f t="shared" ca="1" si="17"/>
        <v>0.11790534441336112</v>
      </c>
      <c r="U9" s="18">
        <f t="shared" ca="1" si="17"/>
        <v>4.1746095203920995E-2</v>
      </c>
      <c r="V9" s="18">
        <f t="shared" ca="1" si="17"/>
        <v>3.779079268148719E-2</v>
      </c>
      <c r="W9" s="18">
        <f t="shared" ca="1" si="17"/>
        <v>3.5658615992934925E-3</v>
      </c>
      <c r="X9" s="17"/>
      <c r="Z9" s="1">
        <f t="shared" si="3"/>
        <v>41060</v>
      </c>
      <c r="AA9">
        <f t="shared" si="7"/>
        <v>102.58208828608456</v>
      </c>
      <c r="AB9">
        <f t="shared" si="8"/>
        <v>103.30301025944418</v>
      </c>
      <c r="AC9">
        <f t="shared" si="9"/>
        <v>106.68730522240061</v>
      </c>
      <c r="AD9">
        <f t="shared" si="10"/>
        <v>111.54686485117618</v>
      </c>
      <c r="AE9">
        <f t="shared" si="11"/>
        <v>105.47367600000003</v>
      </c>
      <c r="AF9">
        <f t="shared" si="12"/>
        <v>103.00900336747669</v>
      </c>
      <c r="AG9">
        <f t="shared" si="13"/>
        <v>105.56139648981213</v>
      </c>
      <c r="AH9">
        <f t="shared" si="14"/>
        <v>104.71579995312536</v>
      </c>
      <c r="AI9">
        <f t="shared" si="15"/>
        <v>101.88561118807175</v>
      </c>
      <c r="AM9" s="11">
        <v>3</v>
      </c>
      <c r="AN9" s="10" t="s">
        <v>54</v>
      </c>
      <c r="AO9" s="10">
        <v>1</v>
      </c>
      <c r="AP9" s="9" t="str">
        <f>E4</f>
        <v>Int'l Listed Equity (Unhedged) [G]</v>
      </c>
      <c r="AQ9" s="8" t="s">
        <v>22</v>
      </c>
      <c r="AR9" s="8" t="s">
        <v>21</v>
      </c>
      <c r="AS9" s="9" t="s">
        <v>56</v>
      </c>
    </row>
    <row r="10" spans="1:69" x14ac:dyDescent="0.35">
      <c r="A10">
        <f t="shared" si="5"/>
        <v>6</v>
      </c>
      <c r="B10" s="1">
        <v>41089</v>
      </c>
      <c r="C10" s="2">
        <v>5.3553453171144572E-3</v>
      </c>
      <c r="D10" s="2">
        <v>4.1870752783617515E-2</v>
      </c>
      <c r="E10" s="3">
        <v>-7.4170829324661236E-3</v>
      </c>
      <c r="F10" s="3">
        <v>4.3377654079701511E-2</v>
      </c>
      <c r="G10" s="3">
        <v>4.8338658453508154E-2</v>
      </c>
      <c r="H10" s="3">
        <v>4.0017120950833096E-2</v>
      </c>
      <c r="I10" s="3">
        <v>-1.6304790593391072E-3</v>
      </c>
      <c r="J10" s="2">
        <v>1.3961541401377175E-3</v>
      </c>
      <c r="K10" s="2">
        <v>2.837831051991202E-3</v>
      </c>
      <c r="N10" s="16" t="s">
        <v>20</v>
      </c>
      <c r="O10" s="15">
        <v>1</v>
      </c>
      <c r="P10" s="14">
        <f t="shared" ref="P10:W10" si="18">O10+1</f>
        <v>2</v>
      </c>
      <c r="Q10" s="14">
        <f t="shared" si="18"/>
        <v>3</v>
      </c>
      <c r="R10" s="14">
        <f t="shared" si="18"/>
        <v>4</v>
      </c>
      <c r="S10" s="14">
        <f t="shared" si="18"/>
        <v>5</v>
      </c>
      <c r="T10" s="14">
        <f t="shared" si="18"/>
        <v>6</v>
      </c>
      <c r="U10" s="14">
        <f t="shared" si="18"/>
        <v>7</v>
      </c>
      <c r="V10" s="14">
        <f t="shared" si="18"/>
        <v>8</v>
      </c>
      <c r="W10" s="14">
        <f t="shared" si="18"/>
        <v>9</v>
      </c>
      <c r="X10" s="13"/>
      <c r="Z10" s="1">
        <f t="shared" si="3"/>
        <v>41089</v>
      </c>
      <c r="AA10">
        <f t="shared" si="7"/>
        <v>103.13145079220726</v>
      </c>
      <c r="AB10">
        <f t="shared" si="8"/>
        <v>107.62838506382087</v>
      </c>
      <c r="AC10">
        <f t="shared" si="9"/>
        <v>105.89599663172474</v>
      </c>
      <c r="AD10">
        <f t="shared" si="10"/>
        <v>116.38550616836572</v>
      </c>
      <c r="AE10">
        <f t="shared" si="11"/>
        <v>110.57213200000001</v>
      </c>
      <c r="AF10">
        <f t="shared" si="12"/>
        <v>107.13112711425778</v>
      </c>
      <c r="AG10">
        <f t="shared" si="13"/>
        <v>105.38928084336089</v>
      </c>
      <c r="AH10">
        <f t="shared" si="14"/>
        <v>104.86199935076775</v>
      </c>
      <c r="AI10">
        <f t="shared" si="15"/>
        <v>102.17474533925237</v>
      </c>
      <c r="AM10" s="11">
        <v>4</v>
      </c>
      <c r="AN10" s="10" t="s">
        <v>19</v>
      </c>
      <c r="AO10" s="10">
        <v>1</v>
      </c>
      <c r="AP10" s="9" t="str">
        <f>F4</f>
        <v>Australian Listed Property [G]</v>
      </c>
      <c r="AQ10" s="8" t="s">
        <v>18</v>
      </c>
      <c r="AR10" s="8" t="s">
        <v>17</v>
      </c>
      <c r="AS10" s="9" t="s">
        <v>56</v>
      </c>
    </row>
    <row r="11" spans="1:69" x14ac:dyDescent="0.35">
      <c r="A11">
        <f t="shared" si="5"/>
        <v>7</v>
      </c>
      <c r="B11" s="1">
        <v>41121</v>
      </c>
      <c r="C11" s="2">
        <v>4.1993368423142607E-2</v>
      </c>
      <c r="D11" s="2">
        <v>1.4590953643560223E-2</v>
      </c>
      <c r="E11" s="3">
        <v>-1.4384762030745679E-2</v>
      </c>
      <c r="F11" s="3">
        <v>5.5518077071543548E-2</v>
      </c>
      <c r="G11" s="3">
        <v>3.0266975407510666E-2</v>
      </c>
      <c r="H11" s="3">
        <v>1.4815963544617894E-2</v>
      </c>
      <c r="I11" s="3">
        <v>3.7157131754146366E-3</v>
      </c>
      <c r="J11" s="2">
        <v>1.6181934911854823E-2</v>
      </c>
      <c r="K11" s="2">
        <v>2.9248972267941209E-3</v>
      </c>
      <c r="Z11" s="1">
        <f t="shared" si="3"/>
        <v>41121</v>
      </c>
      <c r="AA11">
        <f t="shared" si="7"/>
        <v>107.46228780133762</v>
      </c>
      <c r="AB11">
        <f t="shared" si="8"/>
        <v>109.19878584101833</v>
      </c>
      <c r="AC11">
        <f t="shared" si="9"/>
        <v>104.37270792016874</v>
      </c>
      <c r="AD11">
        <f t="shared" si="10"/>
        <v>122.84700566983166</v>
      </c>
      <c r="AE11">
        <f t="shared" si="11"/>
        <v>113.91881600000004</v>
      </c>
      <c r="AF11">
        <f t="shared" si="12"/>
        <v>108.71837798807645</v>
      </c>
      <c r="AG11">
        <f t="shared" si="13"/>
        <v>105.78087718273804</v>
      </c>
      <c r="AH11">
        <f t="shared" si="14"/>
        <v>106.55886939898883</v>
      </c>
      <c r="AI11">
        <f t="shared" si="15"/>
        <v>102.47359596854355</v>
      </c>
      <c r="AM11" s="11">
        <v>5</v>
      </c>
      <c r="AN11" s="10" t="s">
        <v>16</v>
      </c>
      <c r="AO11" s="10">
        <v>1</v>
      </c>
      <c r="AP11" s="9" t="str">
        <f>G4</f>
        <v>Int'l Listed Property [G]</v>
      </c>
      <c r="AQ11" s="9" t="s">
        <v>15</v>
      </c>
      <c r="AR11" s="8" t="s">
        <v>14</v>
      </c>
      <c r="AS11" s="9" t="s">
        <v>56</v>
      </c>
    </row>
    <row r="12" spans="1:69" x14ac:dyDescent="0.35">
      <c r="A12">
        <f t="shared" si="5"/>
        <v>8</v>
      </c>
      <c r="B12" s="1">
        <v>41152</v>
      </c>
      <c r="C12" s="2">
        <v>2.136894834806613E-2</v>
      </c>
      <c r="D12" s="2">
        <v>2.0570982071172361E-2</v>
      </c>
      <c r="E12" s="3">
        <v>4.1370431232207183E-2</v>
      </c>
      <c r="F12" s="3">
        <v>-1.2911967893448617E-3</v>
      </c>
      <c r="G12" s="3">
        <v>4.8770520929570793E-3</v>
      </c>
      <c r="H12" s="3">
        <v>-8.2049594160138462E-3</v>
      </c>
      <c r="I12" s="3">
        <v>6.2755514746068997E-3</v>
      </c>
      <c r="J12" s="2">
        <v>5.4381275773995874E-3</v>
      </c>
      <c r="K12" s="2">
        <v>2.9911464026957102E-3</v>
      </c>
      <c r="Z12" s="1">
        <f t="shared" si="3"/>
        <v>41152</v>
      </c>
      <c r="AA12">
        <f t="shared" si="7"/>
        <v>109.75864387872943</v>
      </c>
      <c r="AB12">
        <f t="shared" si="8"/>
        <v>111.44511210674771</v>
      </c>
      <c r="AC12">
        <f t="shared" si="9"/>
        <v>108.69065185569933</v>
      </c>
      <c r="AD12">
        <f t="shared" si="10"/>
        <v>122.68838601053014</v>
      </c>
      <c r="AE12">
        <f t="shared" si="11"/>
        <v>114.47440400000002</v>
      </c>
      <c r="AF12">
        <f t="shared" si="12"/>
        <v>107.82634810890943</v>
      </c>
      <c r="AG12">
        <f t="shared" si="13"/>
        <v>106.44471052252739</v>
      </c>
      <c r="AH12">
        <f t="shared" si="14"/>
        <v>107.13835012528399</v>
      </c>
      <c r="AI12">
        <f t="shared" si="15"/>
        <v>102.78010949649615</v>
      </c>
      <c r="AM12" s="11">
        <v>6</v>
      </c>
      <c r="AN12" s="10" t="s">
        <v>13</v>
      </c>
      <c r="AO12" s="10">
        <v>1</v>
      </c>
      <c r="AP12" s="9" t="str">
        <f>H4</f>
        <v>Int'l Listed Infrastructure [G]</v>
      </c>
      <c r="AQ12" s="8" t="s">
        <v>12</v>
      </c>
      <c r="AR12" s="12" t="s">
        <v>11</v>
      </c>
      <c r="AS12" s="12" t="s">
        <v>56</v>
      </c>
    </row>
    <row r="13" spans="1:69" x14ac:dyDescent="0.35">
      <c r="A13">
        <f t="shared" si="5"/>
        <v>9</v>
      </c>
      <c r="B13" s="1">
        <v>41180</v>
      </c>
      <c r="C13" s="2">
        <v>2.1814109225125833E-2</v>
      </c>
      <c r="D13" s="2">
        <v>2.6940788775069668E-2</v>
      </c>
      <c r="E13" s="3">
        <v>2.5414786272965451E-2</v>
      </c>
      <c r="F13" s="3">
        <v>1.2008023197317641E-2</v>
      </c>
      <c r="G13" s="3">
        <v>-4.4113616874563721E-3</v>
      </c>
      <c r="H13" s="3">
        <v>1.2029986073661458E-2</v>
      </c>
      <c r="I13" s="3">
        <v>9.7300722059701084E-3</v>
      </c>
      <c r="J13" s="2">
        <v>6.7427189713813451E-3</v>
      </c>
      <c r="K13" s="2">
        <v>3.1321020565449054E-3</v>
      </c>
      <c r="Z13" s="1">
        <f t="shared" si="3"/>
        <v>41180</v>
      </c>
      <c r="AA13">
        <f t="shared" si="7"/>
        <v>112.15293092470172</v>
      </c>
      <c r="AB13">
        <f t="shared" si="8"/>
        <v>114.44753133202957</v>
      </c>
      <c r="AC13">
        <f t="shared" si="9"/>
        <v>111.45300154248122</v>
      </c>
      <c r="AD13">
        <f t="shared" si="10"/>
        <v>124.16163099578604</v>
      </c>
      <c r="AE13">
        <f t="shared" si="11"/>
        <v>113.96941600000002</v>
      </c>
      <c r="AF13">
        <f t="shared" si="12"/>
        <v>109.12349757503338</v>
      </c>
      <c r="AG13">
        <f t="shared" si="13"/>
        <v>107.48042524185516</v>
      </c>
      <c r="AH13">
        <f t="shared" si="14"/>
        <v>107.86075391123624</v>
      </c>
      <c r="AI13">
        <f t="shared" si="15"/>
        <v>103.10202728882204</v>
      </c>
      <c r="AM13" s="11">
        <v>7</v>
      </c>
      <c r="AN13" s="10" t="s">
        <v>10</v>
      </c>
      <c r="AO13" s="10">
        <v>0</v>
      </c>
      <c r="AP13" s="9" t="str">
        <f>I4</f>
        <v>Australian Fixed Income [D]</v>
      </c>
      <c r="AQ13" s="8" t="s">
        <v>9</v>
      </c>
      <c r="AR13" s="8" t="s">
        <v>8</v>
      </c>
      <c r="AS13" s="9" t="s">
        <v>56</v>
      </c>
    </row>
    <row r="14" spans="1:69" x14ac:dyDescent="0.35">
      <c r="A14">
        <f t="shared" si="5"/>
        <v>10</v>
      </c>
      <c r="B14" s="1">
        <v>41213</v>
      </c>
      <c r="C14" s="2">
        <v>2.9183660280168944E-2</v>
      </c>
      <c r="D14" s="2">
        <v>-2.7148628790025775E-3</v>
      </c>
      <c r="E14" s="3">
        <v>-4.799426074222124E-3</v>
      </c>
      <c r="F14" s="3">
        <v>5.3248580278230984E-2</v>
      </c>
      <c r="G14" s="3">
        <v>9.6698573940221522E-3</v>
      </c>
      <c r="H14" s="3">
        <v>1.855072463768126E-2</v>
      </c>
      <c r="I14" s="3">
        <v>1.8154567991879311E-4</v>
      </c>
      <c r="J14" s="2">
        <v>5.7540496172536759E-3</v>
      </c>
      <c r="K14" s="2">
        <v>2.9658018521994123E-3</v>
      </c>
      <c r="Z14" s="1">
        <f t="shared" si="3"/>
        <v>41213</v>
      </c>
      <c r="AA14">
        <f t="shared" si="7"/>
        <v>115.42596396023347</v>
      </c>
      <c r="AB14">
        <f t="shared" si="8"/>
        <v>114.13682197762276</v>
      </c>
      <c r="AC14">
        <f t="shared" si="9"/>
        <v>110.91809110082791</v>
      </c>
      <c r="AD14">
        <f t="shared" si="10"/>
        <v>130.77306157134126</v>
      </c>
      <c r="AE14">
        <f t="shared" si="11"/>
        <v>115.07148400000001</v>
      </c>
      <c r="AF14">
        <f t="shared" si="12"/>
        <v>111.1478175300485</v>
      </c>
      <c r="AG14">
        <f t="shared" si="13"/>
        <v>107.49993784873365</v>
      </c>
      <c r="AH14">
        <f t="shared" si="14"/>
        <v>108.48139004099589</v>
      </c>
      <c r="AI14">
        <f t="shared" si="15"/>
        <v>103.40780747232074</v>
      </c>
      <c r="AM14" s="11">
        <v>8</v>
      </c>
      <c r="AN14" s="10" t="s">
        <v>7</v>
      </c>
      <c r="AO14" s="10">
        <v>0</v>
      </c>
      <c r="AP14" s="9" t="str">
        <f>J4</f>
        <v>Int'l Fixed Income (Hedged) [D]</v>
      </c>
      <c r="AQ14" s="8" t="s">
        <v>6</v>
      </c>
      <c r="AR14" s="8" t="s">
        <v>5</v>
      </c>
      <c r="AS14" s="9" t="s">
        <v>56</v>
      </c>
    </row>
    <row r="15" spans="1:69" x14ac:dyDescent="0.35">
      <c r="A15">
        <f t="shared" si="5"/>
        <v>11</v>
      </c>
      <c r="B15" s="1">
        <v>41243</v>
      </c>
      <c r="C15" s="2">
        <v>3.9177632959108699E-3</v>
      </c>
      <c r="D15" s="2">
        <v>1.7316110079059976E-2</v>
      </c>
      <c r="E15" s="3">
        <v>6.9605169240549714E-3</v>
      </c>
      <c r="F15" s="3">
        <v>-1.2805128533381782E-2</v>
      </c>
      <c r="G15" s="3">
        <v>7.86231278637195E-3</v>
      </c>
      <c r="H15" s="3">
        <v>-6.1341933851893904E-3</v>
      </c>
      <c r="I15" s="3">
        <v>7.771433795933369E-5</v>
      </c>
      <c r="J15" s="2">
        <v>7.4077969503556496E-3</v>
      </c>
      <c r="K15" s="2">
        <v>2.5433677821962153E-3</v>
      </c>
      <c r="Z15" s="1">
        <f t="shared" si="3"/>
        <v>41243</v>
      </c>
      <c r="AA15">
        <f t="shared" si="7"/>
        <v>115.87817556523201</v>
      </c>
      <c r="AB15">
        <f t="shared" si="8"/>
        <v>116.11322775106134</v>
      </c>
      <c r="AC15">
        <f t="shared" si="9"/>
        <v>111.69013835111909</v>
      </c>
      <c r="AD15">
        <f t="shared" si="10"/>
        <v>129.09849570921639</v>
      </c>
      <c r="AE15">
        <f t="shared" si="11"/>
        <v>115.976212</v>
      </c>
      <c r="AF15">
        <f t="shared" si="12"/>
        <v>110.46601532297744</v>
      </c>
      <c r="AG15">
        <f t="shared" si="13"/>
        <v>107.50829213523423</v>
      </c>
      <c r="AH15">
        <f t="shared" si="14"/>
        <v>109.28499815131192</v>
      </c>
      <c r="AI15">
        <f t="shared" si="15"/>
        <v>103.67081155827339</v>
      </c>
      <c r="AM15" s="11">
        <v>9</v>
      </c>
      <c r="AN15" s="10" t="s">
        <v>4</v>
      </c>
      <c r="AO15" s="10">
        <v>0</v>
      </c>
      <c r="AP15" s="9" t="str">
        <f>K4</f>
        <v>Cash [D]</v>
      </c>
      <c r="AQ15" s="8" t="s">
        <v>3</v>
      </c>
      <c r="AR15" s="8" t="s">
        <v>2</v>
      </c>
      <c r="AS15" s="9" t="s">
        <v>56</v>
      </c>
    </row>
    <row r="16" spans="1:69" x14ac:dyDescent="0.35">
      <c r="A16">
        <f t="shared" si="5"/>
        <v>12</v>
      </c>
      <c r="B16" s="1">
        <v>41274</v>
      </c>
      <c r="C16" s="2">
        <v>3.3331052004754946E-2</v>
      </c>
      <c r="D16" s="2">
        <v>2.3680157854129691E-2</v>
      </c>
      <c r="E16" s="3">
        <v>2.7663263927458992E-2</v>
      </c>
      <c r="F16" s="3">
        <v>2.8627146174169393E-2</v>
      </c>
      <c r="G16" s="3">
        <v>3.1675116272981807E-2</v>
      </c>
      <c r="H16" s="3">
        <v>2.1258011522709896E-2</v>
      </c>
      <c r="I16" s="3">
        <v>1.8191539663565681E-3</v>
      </c>
      <c r="J16" s="2">
        <v>3.43031566451657E-3</v>
      </c>
      <c r="K16" s="2">
        <v>2.8751543666376556E-3</v>
      </c>
      <c r="Z16" s="1">
        <f t="shared" si="3"/>
        <v>41274</v>
      </c>
      <c r="AA16">
        <f t="shared" si="7"/>
        <v>119.74051706121288</v>
      </c>
      <c r="AB16">
        <f t="shared" si="8"/>
        <v>118.862807313159</v>
      </c>
      <c r="AC16">
        <f t="shared" si="9"/>
        <v>114.77985212642051</v>
      </c>
      <c r="AD16">
        <f t="shared" si="10"/>
        <v>132.7942172167495</v>
      </c>
      <c r="AE16">
        <f t="shared" si="11"/>
        <v>119.649772</v>
      </c>
      <c r="AF16">
        <f t="shared" si="12"/>
        <v>112.81430314958115</v>
      </c>
      <c r="AG16">
        <f t="shared" si="13"/>
        <v>107.70386627128826</v>
      </c>
      <c r="AH16">
        <f t="shared" si="14"/>
        <v>109.65988019236704</v>
      </c>
      <c r="AI16">
        <f t="shared" si="15"/>
        <v>103.96888114481803</v>
      </c>
      <c r="AM16" s="7"/>
      <c r="AN16" s="6"/>
      <c r="AO16" s="6"/>
      <c r="AP16" s="5"/>
      <c r="AQ16" s="5"/>
      <c r="AR16" s="4"/>
      <c r="AS16" s="4"/>
    </row>
    <row r="17" spans="1:41" x14ac:dyDescent="0.35">
      <c r="A17">
        <f t="shared" si="5"/>
        <v>13</v>
      </c>
      <c r="B17" s="1">
        <v>41305</v>
      </c>
      <c r="C17" s="2">
        <v>4.9797435128345224E-2</v>
      </c>
      <c r="D17" s="2">
        <v>5.0166783984622265E-2</v>
      </c>
      <c r="E17" s="3">
        <v>4.1029400635608226E-2</v>
      </c>
      <c r="F17" s="3">
        <v>4.4055620984498223E-2</v>
      </c>
      <c r="G17" s="3">
        <v>3.3874364591350847E-2</v>
      </c>
      <c r="H17" s="3">
        <v>4.8195705490198248E-2</v>
      </c>
      <c r="I17" s="3">
        <v>-2.2589767250111858E-3</v>
      </c>
      <c r="J17" s="2">
        <v>-3.067399847914154E-3</v>
      </c>
      <c r="K17" s="2">
        <v>2.684354114091958E-3</v>
      </c>
      <c r="Z17" s="1">
        <f t="shared" si="3"/>
        <v>41305</v>
      </c>
      <c r="AA17">
        <f t="shared" si="7"/>
        <v>125.70328769180314</v>
      </c>
      <c r="AB17">
        <f t="shared" si="8"/>
        <v>124.82577209144402</v>
      </c>
      <c r="AC17">
        <f t="shared" si="9"/>
        <v>119.48920066421128</v>
      </c>
      <c r="AD17">
        <f t="shared" si="10"/>
        <v>138.64454891938374</v>
      </c>
      <c r="AE17">
        <f t="shared" si="11"/>
        <v>123.702832</v>
      </c>
      <c r="AF17">
        <f t="shared" si="12"/>
        <v>118.25146807926031</v>
      </c>
      <c r="AG17">
        <f t="shared" si="13"/>
        <v>107.4605657441877</v>
      </c>
      <c r="AH17">
        <f t="shared" si="14"/>
        <v>109.32350949254268</v>
      </c>
      <c r="AI17">
        <f t="shared" si="15"/>
        <v>104.24797043865665</v>
      </c>
    </row>
    <row r="18" spans="1:41" x14ac:dyDescent="0.35">
      <c r="A18">
        <f t="shared" si="5"/>
        <v>14</v>
      </c>
      <c r="B18" s="1">
        <v>41333</v>
      </c>
      <c r="C18" s="2">
        <v>5.2915622376346061E-2</v>
      </c>
      <c r="D18" s="2">
        <v>1.2281785098664288E-2</v>
      </c>
      <c r="E18" s="3">
        <v>1.7542847164758735E-2</v>
      </c>
      <c r="F18" s="3">
        <v>3.5327973685527869E-2</v>
      </c>
      <c r="G18" s="3">
        <v>1.7711639778788646E-2</v>
      </c>
      <c r="H18" s="3">
        <v>3.5199394790878635E-2</v>
      </c>
      <c r="I18" s="3">
        <v>5.9419449502884358E-3</v>
      </c>
      <c r="J18" s="2">
        <v>8.2899009978034677E-3</v>
      </c>
      <c r="K18" s="2">
        <v>2.2456536231809654E-3</v>
      </c>
      <c r="Z18" s="1">
        <f t="shared" si="3"/>
        <v>41333</v>
      </c>
      <c r="AA18">
        <f t="shared" si="7"/>
        <v>132.35495539476779</v>
      </c>
      <c r="AB18">
        <f t="shared" si="8"/>
        <v>126.35885539904598</v>
      </c>
      <c r="AC18">
        <f t="shared" si="9"/>
        <v>121.58538144930273</v>
      </c>
      <c r="AD18">
        <f t="shared" si="10"/>
        <v>143.54257989524962</v>
      </c>
      <c r="AE18">
        <f t="shared" si="11"/>
        <v>125.89381200000001</v>
      </c>
      <c r="AF18">
        <f t="shared" si="12"/>
        <v>122.41384818878318</v>
      </c>
      <c r="AG18">
        <f t="shared" si="13"/>
        <v>108.09909051016652</v>
      </c>
      <c r="AH18">
        <f t="shared" si="14"/>
        <v>110.22979056296829</v>
      </c>
      <c r="AI18">
        <f t="shared" si="15"/>
        <v>104.48207527118149</v>
      </c>
      <c r="AO18" t="s">
        <v>1</v>
      </c>
    </row>
    <row r="19" spans="1:41" x14ac:dyDescent="0.35">
      <c r="A19">
        <f t="shared" si="5"/>
        <v>15</v>
      </c>
      <c r="B19" s="1">
        <v>41362</v>
      </c>
      <c r="C19" s="2">
        <v>-2.2538203800095635E-2</v>
      </c>
      <c r="D19" s="2">
        <v>2.553154392199608E-2</v>
      </c>
      <c r="E19" s="3">
        <v>9.4088127945624045E-4</v>
      </c>
      <c r="F19" s="3">
        <v>-2.5821441159807557E-2</v>
      </c>
      <c r="G19" s="3">
        <v>3.3118704833562385E-2</v>
      </c>
      <c r="H19" s="3">
        <v>4.5047866620731458E-2</v>
      </c>
      <c r="I19" s="3">
        <v>-2.0274241778389657E-3</v>
      </c>
      <c r="J19" s="2">
        <v>7.467331970690827E-3</v>
      </c>
      <c r="K19" s="2">
        <v>2.4631433027595406E-3</v>
      </c>
      <c r="Z19" s="1">
        <f t="shared" si="3"/>
        <v>41362</v>
      </c>
      <c r="AA19">
        <f t="shared" si="7"/>
        <v>129.37191243612793</v>
      </c>
      <c r="AB19">
        <f t="shared" si="8"/>
        <v>129.58499206559986</v>
      </c>
      <c r="AC19">
        <f t="shared" si="9"/>
        <v>121.69977885856393</v>
      </c>
      <c r="AD19">
        <f t="shared" si="10"/>
        <v>139.83610361455746</v>
      </c>
      <c r="AE19">
        <f t="shared" si="11"/>
        <v>130.06325200000001</v>
      </c>
      <c r="AF19">
        <f t="shared" si="12"/>
        <v>127.92833089452195</v>
      </c>
      <c r="AG19">
        <f t="shared" si="13"/>
        <v>107.8799278004638</v>
      </c>
      <c r="AH19">
        <f t="shared" si="14"/>
        <v>111.0529130021617</v>
      </c>
      <c r="AI19">
        <f t="shared" si="15"/>
        <v>104.73942959514412</v>
      </c>
      <c r="AO19" t="s">
        <v>0</v>
      </c>
    </row>
    <row r="20" spans="1:41" x14ac:dyDescent="0.35">
      <c r="A20">
        <f t="shared" si="5"/>
        <v>16</v>
      </c>
      <c r="B20" s="1">
        <v>41394</v>
      </c>
      <c r="C20" s="2">
        <v>4.296402559586765E-2</v>
      </c>
      <c r="D20" s="2">
        <v>2.5775520572836497E-2</v>
      </c>
      <c r="E20" s="3">
        <v>3.2673317426647586E-2</v>
      </c>
      <c r="F20" s="3">
        <v>8.1578993231175678E-2</v>
      </c>
      <c r="G20" s="3">
        <v>6.0340333486356368E-2</v>
      </c>
      <c r="H20" s="3">
        <v>5.5848035004295582E-2</v>
      </c>
      <c r="I20" s="3">
        <v>1.5420594242733454E-2</v>
      </c>
      <c r="J20" s="2">
        <v>1.325748949297112E-2</v>
      </c>
      <c r="K20" s="2">
        <v>2.613846085931737E-3</v>
      </c>
      <c r="Z20" s="1">
        <f t="shared" si="3"/>
        <v>41394</v>
      </c>
      <c r="AA20">
        <f t="shared" si="7"/>
        <v>134.93025059342008</v>
      </c>
      <c r="AB20">
        <f t="shared" si="8"/>
        <v>132.92511269451759</v>
      </c>
      <c r="AC20">
        <f t="shared" si="9"/>
        <v>125.67611436396261</v>
      </c>
      <c r="AD20">
        <f t="shared" si="10"/>
        <v>151.24379216480341</v>
      </c>
      <c r="AE20">
        <f t="shared" si="11"/>
        <v>137.91131200000001</v>
      </c>
      <c r="AF20">
        <f t="shared" si="12"/>
        <v>135.0728767963603</v>
      </c>
      <c r="AG20">
        <f t="shared" si="13"/>
        <v>109.54350039401014</v>
      </c>
      <c r="AH20">
        <f t="shared" si="14"/>
        <v>112.52519582945169</v>
      </c>
      <c r="AI20">
        <f t="shared" si="15"/>
        <v>105.01320234323411</v>
      </c>
    </row>
    <row r="21" spans="1:41" x14ac:dyDescent="0.35">
      <c r="A21">
        <f t="shared" si="5"/>
        <v>17</v>
      </c>
      <c r="B21" s="1">
        <v>41425</v>
      </c>
      <c r="C21" s="2">
        <v>-4.5376180853367698E-2</v>
      </c>
      <c r="D21" s="2">
        <v>1.9468437350156353E-2</v>
      </c>
      <c r="E21" s="3">
        <v>8.4687445452360732E-2</v>
      </c>
      <c r="F21" s="3">
        <v>-3.6630168790708018E-2</v>
      </c>
      <c r="G21" s="3">
        <v>-5.6591035839032466E-2</v>
      </c>
      <c r="H21" s="3">
        <v>-3.794025120041622E-2</v>
      </c>
      <c r="I21" s="3">
        <v>-7.4509680254908339E-4</v>
      </c>
      <c r="J21" s="2">
        <v>-1.3092328879362847E-2</v>
      </c>
      <c r="K21" s="2">
        <v>2.5687448045226269E-3</v>
      </c>
      <c r="Z21" s="1">
        <f t="shared" si="3"/>
        <v>41425</v>
      </c>
      <c r="AA21">
        <f t="shared" si="7"/>
        <v>128.80763113990284</v>
      </c>
      <c r="AB21">
        <f t="shared" si="8"/>
        <v>135.51295692327329</v>
      </c>
      <c r="AC21">
        <f t="shared" si="9"/>
        <v>136.31930344382533</v>
      </c>
      <c r="AD21">
        <f t="shared" si="10"/>
        <v>145.7037065292599</v>
      </c>
      <c r="AE21">
        <f t="shared" si="11"/>
        <v>130.10676800000002</v>
      </c>
      <c r="AF21">
        <f t="shared" si="12"/>
        <v>129.94817792034351</v>
      </c>
      <c r="AG21">
        <f t="shared" si="13"/>
        <v>109.46187988212652</v>
      </c>
      <c r="AH21">
        <f t="shared" si="14"/>
        <v>111.0519789584378</v>
      </c>
      <c r="AI21">
        <f t="shared" si="15"/>
        <v>105.28295446115958</v>
      </c>
    </row>
    <row r="22" spans="1:41" x14ac:dyDescent="0.35">
      <c r="A22">
        <f t="shared" si="5"/>
        <v>18</v>
      </c>
      <c r="B22" s="1">
        <v>41453</v>
      </c>
      <c r="C22" s="2">
        <v>-2.402844937722215E-2</v>
      </c>
      <c r="D22" s="2">
        <v>-2.7304982990740467E-2</v>
      </c>
      <c r="E22" s="3">
        <v>1.8119774789847831E-2</v>
      </c>
      <c r="F22" s="3">
        <v>-9.6832711137744276E-3</v>
      </c>
      <c r="G22" s="3">
        <v>-2.6624871659251426E-2</v>
      </c>
      <c r="H22" s="3">
        <v>-5.5860152927004192E-3</v>
      </c>
      <c r="I22" s="3">
        <v>-1.0463297449940123E-2</v>
      </c>
      <c r="J22" s="2">
        <v>-1.2397233729657842E-2</v>
      </c>
      <c r="K22" s="2">
        <v>2.299354248551877E-3</v>
      </c>
      <c r="Z22" s="1">
        <f t="shared" si="3"/>
        <v>41453</v>
      </c>
      <c r="AA22">
        <f t="shared" si="7"/>
        <v>125.71258349565778</v>
      </c>
      <c r="AB22">
        <f t="shared" si="8"/>
        <v>131.81277793945836</v>
      </c>
      <c r="AC22">
        <f t="shared" si="9"/>
        <v>138.78937852173638</v>
      </c>
      <c r="AD22">
        <f t="shared" si="10"/>
        <v>144.29281803665526</v>
      </c>
      <c r="AE22">
        <f t="shared" si="11"/>
        <v>126.64269200000001</v>
      </c>
      <c r="AF22">
        <f t="shared" si="12"/>
        <v>129.22228541122192</v>
      </c>
      <c r="AG22">
        <f t="shared" si="13"/>
        <v>108.31654767349022</v>
      </c>
      <c r="AH22">
        <f t="shared" si="14"/>
        <v>109.67524161914901</v>
      </c>
      <c r="AI22">
        <f t="shared" si="15"/>
        <v>105.52503726979994</v>
      </c>
    </row>
    <row r="23" spans="1:41" x14ac:dyDescent="0.35">
      <c r="A23">
        <f t="shared" si="5"/>
        <v>19</v>
      </c>
      <c r="B23" s="1">
        <v>41486</v>
      </c>
      <c r="C23" s="2">
        <v>5.2970141516568425E-2</v>
      </c>
      <c r="D23" s="2">
        <v>4.6654510309336317E-2</v>
      </c>
      <c r="E23" s="3">
        <v>6.9524148865464763E-2</v>
      </c>
      <c r="F23" s="3">
        <v>-7.046985286990215E-3</v>
      </c>
      <c r="G23" s="3">
        <v>1.1578938956856577E-2</v>
      </c>
      <c r="H23" s="3">
        <v>3.214177986342226E-2</v>
      </c>
      <c r="I23" s="3">
        <v>8.554985306231222E-3</v>
      </c>
      <c r="J23" s="2">
        <v>6.2932635665740033E-3</v>
      </c>
      <c r="K23" s="2">
        <v>2.5316032037259184E-3</v>
      </c>
      <c r="Z23" s="1">
        <f t="shared" si="3"/>
        <v>41486</v>
      </c>
      <c r="AA23">
        <f t="shared" si="7"/>
        <v>132.37159683383621</v>
      </c>
      <c r="AB23">
        <f t="shared" si="8"/>
        <v>137.96243854673708</v>
      </c>
      <c r="AC23">
        <f t="shared" si="9"/>
        <v>148.43859193502692</v>
      </c>
      <c r="AD23">
        <f t="shared" si="10"/>
        <v>143.27598867093261</v>
      </c>
      <c r="AE23">
        <f t="shared" si="11"/>
        <v>128.10908000000001</v>
      </c>
      <c r="AF23">
        <f t="shared" si="12"/>
        <v>133.37571966235774</v>
      </c>
      <c r="AG23">
        <f t="shared" si="13"/>
        <v>109.24319414725862</v>
      </c>
      <c r="AH23">
        <f t="shared" si="14"/>
        <v>110.36545682138599</v>
      </c>
      <c r="AI23">
        <f t="shared" si="15"/>
        <v>105.79218479222546</v>
      </c>
    </row>
    <row r="24" spans="1:41" x14ac:dyDescent="0.35">
      <c r="A24">
        <f t="shared" si="5"/>
        <v>20</v>
      </c>
      <c r="B24" s="1">
        <v>41516</v>
      </c>
      <c r="C24" s="2">
        <v>2.5129523500842188E-2</v>
      </c>
      <c r="D24" s="2">
        <v>-1.7780147186914008E-2</v>
      </c>
      <c r="E24" s="3">
        <v>-1.4234726864542968E-2</v>
      </c>
      <c r="F24" s="3">
        <v>-7.2437964593030646E-4</v>
      </c>
      <c r="G24" s="3">
        <v>-5.4569871237854617E-2</v>
      </c>
      <c r="H24" s="3">
        <v>-3.9577634157208608E-2</v>
      </c>
      <c r="I24" s="3">
        <v>-3.206624306836714E-3</v>
      </c>
      <c r="J24" s="2">
        <v>-1.6590454564393564E-3</v>
      </c>
      <c r="K24" s="2">
        <v>2.3137470112717384E-3</v>
      </c>
      <c r="Z24" s="1">
        <f t="shared" si="3"/>
        <v>41516</v>
      </c>
      <c r="AA24">
        <f t="shared" si="7"/>
        <v>135.69803198731611</v>
      </c>
      <c r="AB24">
        <f t="shared" si="8"/>
        <v>135.5094460831105</v>
      </c>
      <c r="AC24">
        <f t="shared" si="9"/>
        <v>146.32560912267445</v>
      </c>
      <c r="AD24">
        <f t="shared" si="10"/>
        <v>143.17220246098884</v>
      </c>
      <c r="AE24">
        <f t="shared" si="11"/>
        <v>121.11818399999999</v>
      </c>
      <c r="AF24">
        <f t="shared" si="12"/>
        <v>128.09702422410652</v>
      </c>
      <c r="AG24">
        <f t="shared" si="13"/>
        <v>108.89289226554953</v>
      </c>
      <c r="AH24">
        <f t="shared" si="14"/>
        <v>110.18235551169862</v>
      </c>
      <c r="AI24">
        <f t="shared" si="15"/>
        <v>106.03696114360437</v>
      </c>
    </row>
    <row r="25" spans="1:41" x14ac:dyDescent="0.35">
      <c r="A25">
        <f t="shared" si="5"/>
        <v>21</v>
      </c>
      <c r="B25" s="1">
        <v>41547</v>
      </c>
      <c r="C25" s="2">
        <v>2.1620790411795321E-2</v>
      </c>
      <c r="D25" s="2">
        <v>3.8902779911545782E-2</v>
      </c>
      <c r="E25" s="3">
        <v>1.2461476383769376E-3</v>
      </c>
      <c r="F25" s="3">
        <v>9.335322658472478E-3</v>
      </c>
      <c r="G25" s="3">
        <v>4.4726859511037498E-2</v>
      </c>
      <c r="H25" s="3">
        <v>3.2903006963704851E-2</v>
      </c>
      <c r="I25" s="3">
        <v>5.0073879712253522E-3</v>
      </c>
      <c r="J25" s="2">
        <v>9.7732295647987577E-3</v>
      </c>
      <c r="K25" s="2">
        <v>2.1103261896722181E-3</v>
      </c>
      <c r="Z25" s="1">
        <f t="shared" si="3"/>
        <v>41547</v>
      </c>
      <c r="AA25">
        <f t="shared" si="7"/>
        <v>138.63193069620698</v>
      </c>
      <c r="AB25">
        <f t="shared" si="8"/>
        <v>140.78114024001724</v>
      </c>
      <c r="AC25">
        <f t="shared" si="9"/>
        <v>146.50795243491675</v>
      </c>
      <c r="AD25">
        <f t="shared" si="10"/>
        <v>144.50876116668633</v>
      </c>
      <c r="AE25">
        <f t="shared" si="11"/>
        <v>126.53541999999997</v>
      </c>
      <c r="AF25">
        <f t="shared" si="12"/>
        <v>132.31180150418217</v>
      </c>
      <c r="AG25">
        <f t="shared" si="13"/>
        <v>109.43816122443198</v>
      </c>
      <c r="AH25">
        <f t="shared" si="14"/>
        <v>111.25919296610472</v>
      </c>
      <c r="AI25">
        <f t="shared" si="15"/>
        <v>106.26073371977898</v>
      </c>
    </row>
    <row r="26" spans="1:41" x14ac:dyDescent="0.35">
      <c r="A26">
        <f t="shared" si="5"/>
        <v>22</v>
      </c>
      <c r="B26" s="1">
        <v>41578</v>
      </c>
      <c r="C26" s="2">
        <v>3.9346304735337734E-2</v>
      </c>
      <c r="D26" s="2">
        <v>4.1048556801847047E-2</v>
      </c>
      <c r="E26" s="3">
        <v>2.6751308552143804E-2</v>
      </c>
      <c r="F26" s="3">
        <v>2.6412460240529123E-2</v>
      </c>
      <c r="G26" s="3">
        <v>3.8309273403447142E-2</v>
      </c>
      <c r="H26" s="3">
        <v>3.6582892245875742E-2</v>
      </c>
      <c r="I26" s="3">
        <v>-5.6196892780691066E-4</v>
      </c>
      <c r="J26" s="2">
        <v>1.1073016971875349E-2</v>
      </c>
      <c r="K26" s="2">
        <v>2.1796640150930635E-3</v>
      </c>
      <c r="Z26" s="1">
        <f t="shared" si="3"/>
        <v>41578</v>
      </c>
      <c r="AA26">
        <f t="shared" si="7"/>
        <v>144.08658488742816</v>
      </c>
      <c r="AB26">
        <f t="shared" si="8"/>
        <v>146.56000287178838</v>
      </c>
      <c r="AC26">
        <f t="shared" si="9"/>
        <v>150.42723187584602</v>
      </c>
      <c r="AD26">
        <f t="shared" si="10"/>
        <v>148.32559307540956</v>
      </c>
      <c r="AE26">
        <f t="shared" si="11"/>
        <v>131.38289999999998</v>
      </c>
      <c r="AF26">
        <f t="shared" si="12"/>
        <v>137.15214988146738</v>
      </c>
      <c r="AG26">
        <f t="shared" si="13"/>
        <v>109.37666037830752</v>
      </c>
      <c r="AH26">
        <f t="shared" si="14"/>
        <v>112.49116789809555</v>
      </c>
      <c r="AI26">
        <f t="shared" si="15"/>
        <v>106.49234641728538</v>
      </c>
    </row>
    <row r="27" spans="1:41" x14ac:dyDescent="0.35">
      <c r="A27">
        <f t="shared" si="5"/>
        <v>23</v>
      </c>
      <c r="B27" s="1">
        <v>41607</v>
      </c>
      <c r="C27" s="2">
        <v>-1.3575754841474774E-2</v>
      </c>
      <c r="D27" s="2">
        <v>2.2418283615784462E-2</v>
      </c>
      <c r="E27" s="3">
        <v>5.2990957774829095E-2</v>
      </c>
      <c r="F27" s="3">
        <v>-2.7328681399694799E-2</v>
      </c>
      <c r="G27" s="3">
        <v>-3.4153668399768855E-2</v>
      </c>
      <c r="H27" s="3">
        <v>-5.4743080241708153E-3</v>
      </c>
      <c r="I27" s="3">
        <v>-9.872692352316248E-4</v>
      </c>
      <c r="J27" s="2">
        <v>5.0522160258581472E-4</v>
      </c>
      <c r="K27" s="2">
        <v>2.1318048171581339E-3</v>
      </c>
      <c r="Z27" s="1">
        <f t="shared" si="3"/>
        <v>41607</v>
      </c>
      <c r="AA27">
        <f t="shared" si="7"/>
        <v>142.1305007350511</v>
      </c>
      <c r="AB27">
        <f t="shared" si="8"/>
        <v>149.84562658289832</v>
      </c>
      <c r="AC27">
        <f t="shared" si="9"/>
        <v>158.3985149683634</v>
      </c>
      <c r="AD27">
        <f t="shared" si="10"/>
        <v>144.27205019883093</v>
      </c>
      <c r="AE27">
        <f t="shared" si="11"/>
        <v>126.89569199999998</v>
      </c>
      <c r="AF27">
        <f t="shared" si="12"/>
        <v>136.40133676683899</v>
      </c>
      <c r="AG27">
        <f t="shared" si="13"/>
        <v>109.26867616646364</v>
      </c>
      <c r="AH27">
        <f t="shared" si="14"/>
        <v>112.54800086621778</v>
      </c>
      <c r="AI27">
        <f t="shared" si="15"/>
        <v>106.71936731436821</v>
      </c>
    </row>
    <row r="28" spans="1:41" x14ac:dyDescent="0.35">
      <c r="A28">
        <f t="shared" si="5"/>
        <v>24</v>
      </c>
      <c r="B28" s="1">
        <v>41639</v>
      </c>
      <c r="C28" s="2">
        <v>8.2348701127039625E-3</v>
      </c>
      <c r="D28" s="2">
        <v>2.0109407550067182E-2</v>
      </c>
      <c r="E28" s="3">
        <v>4.0305166357324396E-2</v>
      </c>
      <c r="F28" s="3">
        <v>-1.2616114078226159E-2</v>
      </c>
      <c r="G28" s="3">
        <v>3.317622476892268E-3</v>
      </c>
      <c r="H28" s="3">
        <v>2.2978113405539125E-2</v>
      </c>
      <c r="I28" s="3">
        <v>5.2518119697078092E-3</v>
      </c>
      <c r="J28" s="2">
        <v>-3.5548108239787934E-3</v>
      </c>
      <c r="K28" s="2">
        <v>2.1477062401644709E-3</v>
      </c>
      <c r="Z28" s="1">
        <f t="shared" si="3"/>
        <v>41639</v>
      </c>
      <c r="AA28">
        <f t="shared" si="7"/>
        <v>143.30092694765781</v>
      </c>
      <c r="AB28">
        <f t="shared" si="8"/>
        <v>152.85893335744899</v>
      </c>
      <c r="AC28">
        <f t="shared" si="9"/>
        <v>164.78279346491644</v>
      </c>
      <c r="AD28">
        <f t="shared" si="10"/>
        <v>142.4518975552229</v>
      </c>
      <c r="AE28">
        <f t="shared" si="11"/>
        <v>127.31668399999998</v>
      </c>
      <c r="AF28">
        <f t="shared" si="12"/>
        <v>139.53558215173456</v>
      </c>
      <c r="AG28">
        <f t="shared" si="13"/>
        <v>109.84253470786879</v>
      </c>
      <c r="AH28">
        <f t="shared" si="14"/>
        <v>112.14791401452138</v>
      </c>
      <c r="AI28">
        <f t="shared" si="15"/>
        <v>106.94856916549568</v>
      </c>
    </row>
    <row r="29" spans="1:41" x14ac:dyDescent="0.35">
      <c r="A29">
        <f t="shared" si="5"/>
        <v>25</v>
      </c>
      <c r="B29" s="1">
        <v>41670</v>
      </c>
      <c r="C29" s="2">
        <v>-2.995524031284158E-2</v>
      </c>
      <c r="D29" s="2">
        <v>-3.2618532301853409E-2</v>
      </c>
      <c r="E29" s="3">
        <v>-1.5108147050760801E-2</v>
      </c>
      <c r="F29" s="3">
        <v>4.105878100049587E-3</v>
      </c>
      <c r="G29" s="3">
        <v>2.6047835176103096E-2</v>
      </c>
      <c r="H29" s="3">
        <v>2.697269301045413E-3</v>
      </c>
      <c r="I29" s="3">
        <v>1.0874825812513089E-2</v>
      </c>
      <c r="J29" s="2">
        <v>1.6740255864637676E-2</v>
      </c>
      <c r="K29" s="2">
        <v>2.2425762116466963E-3</v>
      </c>
      <c r="Z29" s="1">
        <f t="shared" si="3"/>
        <v>41670</v>
      </c>
      <c r="AA29">
        <f t="shared" si="7"/>
        <v>139.00831324388776</v>
      </c>
      <c r="AB29">
        <f t="shared" si="8"/>
        <v>147.87289930210218</v>
      </c>
      <c r="AC29">
        <f t="shared" si="9"/>
        <v>162.29323078981332</v>
      </c>
      <c r="AD29">
        <f t="shared" si="10"/>
        <v>143.03678768170539</v>
      </c>
      <c r="AE29">
        <f t="shared" si="11"/>
        <v>130.63300799999999</v>
      </c>
      <c r="AF29">
        <f t="shared" si="12"/>
        <v>139.91194719387593</v>
      </c>
      <c r="AG29">
        <f t="shared" si="13"/>
        <v>111.03705313962179</v>
      </c>
      <c r="AH29">
        <f t="shared" si="14"/>
        <v>114.02529878980985</v>
      </c>
      <c r="AI29">
        <f t="shared" si="15"/>
        <v>107.18840948257588</v>
      </c>
    </row>
    <row r="30" spans="1:41" x14ac:dyDescent="0.35">
      <c r="A30">
        <f t="shared" si="5"/>
        <v>26</v>
      </c>
      <c r="B30" s="1">
        <v>41698</v>
      </c>
      <c r="C30" s="2">
        <v>4.9163991190628309E-2</v>
      </c>
      <c r="D30" s="2">
        <v>4.0937297298595077E-2</v>
      </c>
      <c r="E30" s="3">
        <v>2.1573455064156644E-2</v>
      </c>
      <c r="F30" s="3">
        <v>4.2626158019577254E-2</v>
      </c>
      <c r="G30" s="3">
        <v>4.792228316445124E-2</v>
      </c>
      <c r="H30" s="3">
        <v>3.4718987203025131E-2</v>
      </c>
      <c r="I30" s="3">
        <v>3.4132087442499959E-3</v>
      </c>
      <c r="J30" s="2">
        <v>6.7135408055039036E-3</v>
      </c>
      <c r="K30" s="2">
        <v>1.9931633720418063E-3</v>
      </c>
      <c r="Z30" s="1">
        <f t="shared" si="3"/>
        <v>41698</v>
      </c>
      <c r="AA30">
        <f t="shared" si="7"/>
        <v>145.84251673163436</v>
      </c>
      <c r="AB30">
        <f t="shared" si="8"/>
        <v>153.92641614323756</v>
      </c>
      <c r="AC30">
        <f t="shared" si="9"/>
        <v>165.79445651147415</v>
      </c>
      <c r="AD30">
        <f t="shared" si="10"/>
        <v>149.13389639603849</v>
      </c>
      <c r="AE30">
        <f t="shared" si="11"/>
        <v>136.89324000000002</v>
      </c>
      <c r="AF30">
        <f t="shared" si="12"/>
        <v>144.76954829805044</v>
      </c>
      <c r="AG30">
        <f t="shared" si="13"/>
        <v>111.4160457803337</v>
      </c>
      <c r="AH30">
        <f t="shared" si="14"/>
        <v>114.79081228609502</v>
      </c>
      <c r="AI30">
        <f t="shared" si="15"/>
        <v>107.40205349426397</v>
      </c>
    </row>
    <row r="31" spans="1:41" x14ac:dyDescent="0.35">
      <c r="A31">
        <f t="shared" si="5"/>
        <v>27</v>
      </c>
      <c r="B31" s="1">
        <v>41729</v>
      </c>
      <c r="C31" s="2">
        <v>2.0944606663497733E-3</v>
      </c>
      <c r="D31" s="2">
        <v>5.5114070358261991E-3</v>
      </c>
      <c r="E31" s="3">
        <v>-3.0976811313527142E-2</v>
      </c>
      <c r="F31" s="3">
        <v>-1.5805237245524184E-2</v>
      </c>
      <c r="G31" s="3">
        <v>2.5726325127521932E-3</v>
      </c>
      <c r="H31" s="3">
        <v>1.6671080508474656E-2</v>
      </c>
      <c r="I31" s="3">
        <v>1.8966236337192299E-4</v>
      </c>
      <c r="J31" s="2">
        <v>3.0781344669941202E-3</v>
      </c>
      <c r="K31" s="2">
        <v>2.1798054489559071E-3</v>
      </c>
      <c r="Z31" s="1">
        <f t="shared" si="3"/>
        <v>41729</v>
      </c>
      <c r="AA31">
        <f t="shared" si="7"/>
        <v>146.14797814641022</v>
      </c>
      <c r="AB31">
        <f t="shared" si="8"/>
        <v>154.77476727616892</v>
      </c>
      <c r="AC31">
        <f t="shared" si="9"/>
        <v>160.65867291528943</v>
      </c>
      <c r="AD31">
        <f t="shared" si="10"/>
        <v>146.77679978214968</v>
      </c>
      <c r="AE31">
        <f t="shared" si="11"/>
        <v>137.24541600000001</v>
      </c>
      <c r="AF31">
        <f t="shared" si="12"/>
        <v>147.18301309290274</v>
      </c>
      <c r="AG31">
        <f t="shared" si="13"/>
        <v>111.43717721089395</v>
      </c>
      <c r="AH31">
        <f t="shared" si="14"/>
        <v>115.1441538418871</v>
      </c>
      <c r="AI31">
        <f t="shared" si="15"/>
        <v>107.63616907569981</v>
      </c>
    </row>
    <row r="32" spans="1:41" x14ac:dyDescent="0.35">
      <c r="A32">
        <f t="shared" si="5"/>
        <v>28</v>
      </c>
      <c r="B32" s="1">
        <v>41759</v>
      </c>
      <c r="C32" s="2">
        <v>1.6835643589018234E-2</v>
      </c>
      <c r="D32" s="2">
        <v>7.9514103206428377E-3</v>
      </c>
      <c r="E32" s="3">
        <v>9.8004728361678062E-3</v>
      </c>
      <c r="F32" s="3">
        <v>5.6286641000670601E-2</v>
      </c>
      <c r="G32" s="3">
        <v>3.3166688787624077E-2</v>
      </c>
      <c r="H32" s="3">
        <v>2.3044495673730125E-2</v>
      </c>
      <c r="I32" s="3">
        <v>9.0671769026227089E-3</v>
      </c>
      <c r="J32" s="2">
        <v>8.9929087821103426E-3</v>
      </c>
      <c r="K32" s="2">
        <v>2.2144765609508621E-3</v>
      </c>
      <c r="Z32" s="1">
        <f t="shared" si="3"/>
        <v>41759</v>
      </c>
      <c r="AA32">
        <f t="shared" si="7"/>
        <v>148.60847341773882</v>
      </c>
      <c r="AB32">
        <f t="shared" si="8"/>
        <v>156.00544495806375</v>
      </c>
      <c r="AC32">
        <f t="shared" si="9"/>
        <v>162.23320387509048</v>
      </c>
      <c r="AD32">
        <f t="shared" si="10"/>
        <v>155.03837281871483</v>
      </c>
      <c r="AE32">
        <f t="shared" si="11"/>
        <v>141.797392</v>
      </c>
      <c r="AF32">
        <f t="shared" si="12"/>
        <v>150.57477140136871</v>
      </c>
      <c r="AG32">
        <f t="shared" si="13"/>
        <v>112.44759781019404</v>
      </c>
      <c r="AH32">
        <f t="shared" si="14"/>
        <v>116.17963471418048</v>
      </c>
      <c r="AI32">
        <f t="shared" si="15"/>
        <v>107.87452684922849</v>
      </c>
    </row>
    <row r="33" spans="1:35" x14ac:dyDescent="0.35">
      <c r="A33">
        <f t="shared" si="5"/>
        <v>29</v>
      </c>
      <c r="B33" s="1">
        <v>41789</v>
      </c>
      <c r="C33" s="2">
        <v>6.4520743200224828E-3</v>
      </c>
      <c r="D33" s="2">
        <v>2.5612700382603659E-2</v>
      </c>
      <c r="E33" s="3">
        <v>1.7394669409538155E-2</v>
      </c>
      <c r="F33" s="3">
        <v>4.6678480946904521E-4</v>
      </c>
      <c r="G33" s="3">
        <v>3.2430272060292697E-2</v>
      </c>
      <c r="H33" s="3">
        <v>2.2898852086825627E-2</v>
      </c>
      <c r="I33" s="3">
        <v>1.3728109345685358E-2</v>
      </c>
      <c r="J33" s="2">
        <v>1.1738632675516669E-2</v>
      </c>
      <c r="K33" s="2">
        <v>2.2486284889879915E-3</v>
      </c>
      <c r="Z33" s="1">
        <f t="shared" si="3"/>
        <v>41789</v>
      </c>
      <c r="AA33">
        <f t="shared" si="7"/>
        <v>149.56730633281515</v>
      </c>
      <c r="AB33">
        <f t="shared" si="8"/>
        <v>160.00116567782939</v>
      </c>
      <c r="AC33">
        <f t="shared" si="9"/>
        <v>165.05519682374788</v>
      </c>
      <c r="AD33">
        <f t="shared" si="10"/>
        <v>155.1107423760314</v>
      </c>
      <c r="AE33">
        <f t="shared" si="11"/>
        <v>146.39591999999996</v>
      </c>
      <c r="AF33">
        <f t="shared" si="12"/>
        <v>154.02276081969623</v>
      </c>
      <c r="AG33">
        <f t="shared" si="13"/>
        <v>113.99129072859203</v>
      </c>
      <c r="AH33">
        <f t="shared" si="14"/>
        <v>117.54342477046595</v>
      </c>
      <c r="AI33">
        <f t="shared" si="15"/>
        <v>108.11709658353776</v>
      </c>
    </row>
    <row r="34" spans="1:35" x14ac:dyDescent="0.35">
      <c r="A34">
        <f t="shared" si="5"/>
        <v>30</v>
      </c>
      <c r="B34" s="1">
        <v>41820</v>
      </c>
      <c r="C34" s="2">
        <v>-1.4468433545799519E-2</v>
      </c>
      <c r="D34" s="2">
        <v>1.7531267421939667E-2</v>
      </c>
      <c r="E34" s="3">
        <v>5.4124939126281024E-3</v>
      </c>
      <c r="F34" s="3">
        <v>3.3307283910473773E-2</v>
      </c>
      <c r="G34" s="3">
        <v>9.5603484031523411E-3</v>
      </c>
      <c r="H34" s="3">
        <v>3.6873394982596341E-2</v>
      </c>
      <c r="I34" s="3">
        <v>8.0454126908331425E-3</v>
      </c>
      <c r="J34" s="2">
        <v>5.4601352545786686E-3</v>
      </c>
      <c r="K34" s="2">
        <v>2.2021480824514494E-3</v>
      </c>
      <c r="Z34" s="1">
        <f t="shared" si="3"/>
        <v>41820</v>
      </c>
      <c r="AA34">
        <f t="shared" si="7"/>
        <v>147.40330170051456</v>
      </c>
      <c r="AB34">
        <f t="shared" si="8"/>
        <v>162.80618890114948</v>
      </c>
      <c r="AC34">
        <f t="shared" si="9"/>
        <v>165.94855707180403</v>
      </c>
      <c r="AD34">
        <f t="shared" si="10"/>
        <v>160.27705990991424</v>
      </c>
      <c r="AE34">
        <f t="shared" si="11"/>
        <v>147.79551599999999</v>
      </c>
      <c r="AF34">
        <f t="shared" si="12"/>
        <v>159.70210291571087</v>
      </c>
      <c r="AG34">
        <f t="shared" si="13"/>
        <v>114.9083977056643</v>
      </c>
      <c r="AH34">
        <f t="shared" si="14"/>
        <v>118.18522776799908</v>
      </c>
      <c r="AI34">
        <f t="shared" si="15"/>
        <v>108.35518644045942</v>
      </c>
    </row>
    <row r="35" spans="1:35" x14ac:dyDescent="0.35">
      <c r="A35">
        <f t="shared" si="5"/>
        <v>31</v>
      </c>
      <c r="B35" s="1">
        <v>41851</v>
      </c>
      <c r="C35" s="2">
        <v>4.4123671967990052E-2</v>
      </c>
      <c r="D35" s="2">
        <v>-2.9635489655835956E-3</v>
      </c>
      <c r="E35" s="3">
        <v>1.8255538533940019E-3</v>
      </c>
      <c r="F35" s="3">
        <v>4.9569230525134289E-2</v>
      </c>
      <c r="G35" s="3">
        <v>3.9371965790897523E-3</v>
      </c>
      <c r="H35" s="3">
        <v>-1.1131161249794963E-2</v>
      </c>
      <c r="I35" s="3">
        <v>2.9120545928160713E-3</v>
      </c>
      <c r="J35" s="2">
        <v>4.6055096135362295E-3</v>
      </c>
      <c r="K35" s="2">
        <v>2.2991834472432249E-3</v>
      </c>
      <c r="Z35" s="1">
        <f t="shared" si="3"/>
        <v>41851</v>
      </c>
      <c r="AA35">
        <f t="shared" si="7"/>
        <v>153.90727663174673</v>
      </c>
      <c r="AB35">
        <f t="shared" si="8"/>
        <v>162.32370478844086</v>
      </c>
      <c r="AC35">
        <f t="shared" si="9"/>
        <v>166.25150509963163</v>
      </c>
      <c r="AD35">
        <f t="shared" si="10"/>
        <v>168.22187044047953</v>
      </c>
      <c r="AE35">
        <f t="shared" si="11"/>
        <v>148.37741600000001</v>
      </c>
      <c r="AF35">
        <f t="shared" si="12"/>
        <v>157.92443305622473</v>
      </c>
      <c r="AG35">
        <f t="shared" si="13"/>
        <v>115.24301723295622</v>
      </c>
      <c r="AH35">
        <f t="shared" si="14"/>
        <v>118.72953097066257</v>
      </c>
      <c r="AI35">
        <f t="shared" si="15"/>
        <v>108.60431489154628</v>
      </c>
    </row>
    <row r="36" spans="1:35" x14ac:dyDescent="0.35">
      <c r="A36">
        <f t="shared" si="5"/>
        <v>32</v>
      </c>
      <c r="B36" s="1">
        <v>41880</v>
      </c>
      <c r="C36" s="2">
        <v>6.4235948689803646E-3</v>
      </c>
      <c r="D36" s="2">
        <v>2.8258358419410934E-2</v>
      </c>
      <c r="E36" s="3">
        <v>1.6518742355488447E-2</v>
      </c>
      <c r="F36" s="3">
        <v>1.6759966553761885E-2</v>
      </c>
      <c r="G36" s="3">
        <v>2.8536741737030802E-2</v>
      </c>
      <c r="H36" s="3">
        <v>4.1683694319575082E-2</v>
      </c>
      <c r="I36" s="3">
        <v>1.01417146022027E-2</v>
      </c>
      <c r="J36" s="2">
        <v>1.4261153723959419E-2</v>
      </c>
      <c r="K36" s="2">
        <v>2.2661448863297018E-3</v>
      </c>
      <c r="Z36" s="1">
        <f t="shared" si="3"/>
        <v>41880</v>
      </c>
      <c r="AA36">
        <f t="shared" si="7"/>
        <v>154.89591462421714</v>
      </c>
      <c r="AB36">
        <f t="shared" si="8"/>
        <v>166.91070621831929</v>
      </c>
      <c r="AC36">
        <f t="shared" si="9"/>
        <v>168.99777087858462</v>
      </c>
      <c r="AD36">
        <f t="shared" si="10"/>
        <v>171.04126336267325</v>
      </c>
      <c r="AE36">
        <f t="shared" si="11"/>
        <v>152.61162400000001</v>
      </c>
      <c r="AF36">
        <f t="shared" si="12"/>
        <v>164.50730684933259</v>
      </c>
      <c r="AG36">
        <f t="shared" si="13"/>
        <v>116.41177902362959</v>
      </c>
      <c r="AH36">
        <f t="shared" si="14"/>
        <v>120.42275106340878</v>
      </c>
      <c r="AI36">
        <f t="shared" si="15"/>
        <v>108.8504280043711</v>
      </c>
    </row>
    <row r="37" spans="1:35" x14ac:dyDescent="0.35">
      <c r="A37">
        <f t="shared" si="5"/>
        <v>33</v>
      </c>
      <c r="B37" s="1">
        <v>41912</v>
      </c>
      <c r="C37" s="2">
        <v>-5.3674068577913125E-2</v>
      </c>
      <c r="D37" s="2">
        <v>-1.1153052233930927E-2</v>
      </c>
      <c r="E37" s="3">
        <v>3.6964575004422517E-2</v>
      </c>
      <c r="F37" s="3">
        <v>-5.1365944527146268E-2</v>
      </c>
      <c r="G37" s="3">
        <v>-4.8679725733080548E-2</v>
      </c>
      <c r="H37" s="3">
        <v>-5.1349976111773055E-3</v>
      </c>
      <c r="I37" s="3">
        <v>-3.3299934070599724E-3</v>
      </c>
      <c r="J37" s="2">
        <v>-1.1428120024733479E-3</v>
      </c>
      <c r="K37" s="2">
        <v>2.0737404390922531E-3</v>
      </c>
      <c r="Z37" s="1">
        <f t="shared" ref="Z37:Z68" si="19">B37</f>
        <v>41912</v>
      </c>
      <c r="AA37">
        <f t="shared" si="7"/>
        <v>146.58202068023834</v>
      </c>
      <c r="AB37">
        <f t="shared" si="8"/>
        <v>165.04914239346408</v>
      </c>
      <c r="AC37">
        <f t="shared" si="9"/>
        <v>175.24470165580627</v>
      </c>
      <c r="AD37">
        <f t="shared" si="10"/>
        <v>162.25556731693317</v>
      </c>
      <c r="AE37">
        <f t="shared" si="11"/>
        <v>145.18253199999998</v>
      </c>
      <c r="AF37">
        <f t="shared" si="12"/>
        <v>163.66256222164006</v>
      </c>
      <c r="AG37">
        <f t="shared" si="13"/>
        <v>116.02412856697678</v>
      </c>
      <c r="AH37">
        <f t="shared" si="14"/>
        <v>120.28513049812265</v>
      </c>
      <c r="AI37">
        <f t="shared" si="15"/>
        <v>109.07615553873626</v>
      </c>
    </row>
    <row r="38" spans="1:35" x14ac:dyDescent="0.35">
      <c r="A38">
        <f t="shared" ref="A38:A69" si="20">A37+1</f>
        <v>34</v>
      </c>
      <c r="B38" s="1">
        <v>41943</v>
      </c>
      <c r="C38" s="2">
        <v>4.2654417265765909E-2</v>
      </c>
      <c r="D38" s="2">
        <v>1.2794020753200464E-2</v>
      </c>
      <c r="E38" s="3">
        <v>1.3868559667618019E-3</v>
      </c>
      <c r="F38" s="3">
        <v>6.5277576879210653E-2</v>
      </c>
      <c r="G38" s="3">
        <v>7.6027631202905344E-2</v>
      </c>
      <c r="H38" s="3">
        <v>4.9362230455984646E-2</v>
      </c>
      <c r="I38" s="3">
        <v>9.5665389766108611E-3</v>
      </c>
      <c r="J38" s="2">
        <v>9.5389486262023038E-3</v>
      </c>
      <c r="K38" s="2">
        <v>2.3114607058905001E-3</v>
      </c>
      <c r="Z38" s="1">
        <f t="shared" si="19"/>
        <v>41943</v>
      </c>
      <c r="AA38">
        <f t="shared" ref="AA38:AA69" si="21">IF($Z38&lt;$B$1,100,AA37*(1+C38))</f>
        <v>152.83439135399234</v>
      </c>
      <c r="AB38">
        <f t="shared" ref="AB38:AB69" si="22">IF($Z38&lt;$B$1,100,AB37*(1+D38))</f>
        <v>167.16078454654399</v>
      </c>
      <c r="AC38">
        <f t="shared" ref="AC38:AC69" si="23">IF($Z38&lt;$B$1,100,AC37*(1+E38))</f>
        <v>175.48774081594101</v>
      </c>
      <c r="AD38">
        <f t="shared" ref="AD38:AD69" si="24">IF($Z38&lt;$B$1,100,AD37*(1+F38))</f>
        <v>172.84721758654422</v>
      </c>
      <c r="AE38">
        <f t="shared" ref="AE38:AE69" si="25">IF($Z38&lt;$B$1,100,AE37*(1+G38))</f>
        <v>156.22041599999997</v>
      </c>
      <c r="AF38">
        <f t="shared" ref="AF38:AF69" si="26">IF($Z38&lt;$B$1,100,AF37*(1+H38))</f>
        <v>171.74131133504159</v>
      </c>
      <c r="AG38">
        <f t="shared" ref="AG38:AG69" si="27">IF($Z38&lt;$B$1,100,AG37*(1+I38))</f>
        <v>117.13407791514008</v>
      </c>
      <c r="AH38">
        <f t="shared" ref="AH38:AH69" si="28">IF($Z38&lt;$B$1,100,AH37*(1+J38))</f>
        <v>121.43252417844029</v>
      </c>
      <c r="AI38">
        <f t="shared" ref="AI38:AI69" si="29">IF($Z38&lt;$B$1,100,AI37*(1+K38))</f>
        <v>109.32828078621365</v>
      </c>
    </row>
    <row r="39" spans="1:35" x14ac:dyDescent="0.35">
      <c r="A39">
        <f t="shared" si="20"/>
        <v>35</v>
      </c>
      <c r="B39" s="1">
        <v>41971</v>
      </c>
      <c r="C39" s="2">
        <v>-3.2422977378625761E-2</v>
      </c>
      <c r="D39" s="2">
        <v>3.1527346496566189E-2</v>
      </c>
      <c r="E39" s="3">
        <v>4.9652502107589314E-2</v>
      </c>
      <c r="F39" s="3">
        <v>-2.0536083738087463E-5</v>
      </c>
      <c r="G39" s="3">
        <v>2.861344320066328E-2</v>
      </c>
      <c r="H39" s="3">
        <v>1.106522305316826E-2</v>
      </c>
      <c r="I39" s="3">
        <v>1.2676388809881534E-2</v>
      </c>
      <c r="J39" s="2">
        <v>1.1728333409857683E-2</v>
      </c>
      <c r="K39" s="2">
        <v>2.2487593092135327E-3</v>
      </c>
      <c r="Z39" s="1">
        <f t="shared" si="19"/>
        <v>41971</v>
      </c>
      <c r="AA39">
        <f t="shared" si="21"/>
        <v>147.87904534044583</v>
      </c>
      <c r="AB39">
        <f t="shared" si="22"/>
        <v>172.43092052158073</v>
      </c>
      <c r="AC39">
        <f t="shared" si="23"/>
        <v>184.20114623666061</v>
      </c>
      <c r="AD39">
        <f t="shared" si="24"/>
        <v>172.84366798160997</v>
      </c>
      <c r="AE39">
        <f t="shared" si="25"/>
        <v>160.69041999999996</v>
      </c>
      <c r="AF39">
        <f t="shared" si="26"/>
        <v>173.64166725240744</v>
      </c>
      <c r="AG39">
        <f t="shared" si="27"/>
        <v>118.61891502967936</v>
      </c>
      <c r="AH39">
        <f t="shared" si="28"/>
        <v>122.85672530880564</v>
      </c>
      <c r="AI39">
        <f t="shared" si="29"/>
        <v>109.57413377539196</v>
      </c>
    </row>
    <row r="40" spans="1:35" x14ac:dyDescent="0.35">
      <c r="A40">
        <f t="shared" si="20"/>
        <v>36</v>
      </c>
      <c r="B40" s="1">
        <v>42004</v>
      </c>
      <c r="C40" s="2">
        <v>2.0402524896526941E-2</v>
      </c>
      <c r="D40" s="2">
        <v>-8.4255028801166754E-3</v>
      </c>
      <c r="E40" s="3">
        <v>2.3145650725129752E-2</v>
      </c>
      <c r="F40" s="3">
        <v>4.4925598079744722E-2</v>
      </c>
      <c r="G40" s="3">
        <v>1.5782347199042812E-2</v>
      </c>
      <c r="H40" s="3">
        <v>1.6471384832783764E-2</v>
      </c>
      <c r="I40" s="3">
        <v>1.6851446969472716E-2</v>
      </c>
      <c r="J40" s="2">
        <v>7.5097203537106694E-3</v>
      </c>
      <c r="K40" s="2">
        <v>2.3181179782798544E-3</v>
      </c>
      <c r="Z40" s="1">
        <f t="shared" si="19"/>
        <v>42004</v>
      </c>
      <c r="AA40">
        <f t="shared" si="21"/>
        <v>150.89615124467892</v>
      </c>
      <c r="AB40">
        <f t="shared" si="22"/>
        <v>170.97810330410499</v>
      </c>
      <c r="AC40">
        <f t="shared" si="23"/>
        <v>188.46460163062289</v>
      </c>
      <c r="AD40">
        <f t="shared" si="24"/>
        <v>180.60877313998063</v>
      </c>
      <c r="AE40">
        <f t="shared" si="25"/>
        <v>163.22649199999998</v>
      </c>
      <c r="AF40">
        <f t="shared" si="26"/>
        <v>176.50178597672803</v>
      </c>
      <c r="AG40">
        <f t="shared" si="27"/>
        <v>120.61781538587839</v>
      </c>
      <c r="AH40">
        <f t="shared" si="28"/>
        <v>123.77934495944741</v>
      </c>
      <c r="AI40">
        <f t="shared" si="29"/>
        <v>109.82813954485114</v>
      </c>
    </row>
    <row r="41" spans="1:35" x14ac:dyDescent="0.35">
      <c r="A41">
        <f t="shared" si="20"/>
        <v>37</v>
      </c>
      <c r="B41" s="1">
        <v>42034</v>
      </c>
      <c r="C41" s="2">
        <v>3.223589931152171E-2</v>
      </c>
      <c r="D41" s="2">
        <v>-3.1370659850348259E-3</v>
      </c>
      <c r="E41" s="3">
        <v>3.4594224025402021E-2</v>
      </c>
      <c r="F41" s="3">
        <v>7.4401622503851739E-2</v>
      </c>
      <c r="G41" s="3">
        <v>7.4784085906839159E-2</v>
      </c>
      <c r="H41" s="3">
        <v>2.1797842299616343E-2</v>
      </c>
      <c r="I41" s="3">
        <v>1.6103641563658844E-2</v>
      </c>
      <c r="J41" s="2">
        <v>2.17725273343643E-2</v>
      </c>
      <c r="K41" s="2">
        <v>2.5142667528972318E-3</v>
      </c>
      <c r="Z41" s="1">
        <f t="shared" si="19"/>
        <v>42034</v>
      </c>
      <c r="AA41">
        <f t="shared" si="21"/>
        <v>155.76042438269855</v>
      </c>
      <c r="AB41">
        <f t="shared" si="22"/>
        <v>170.44173371204391</v>
      </c>
      <c r="AC41">
        <f t="shared" si="23"/>
        <v>194.9843882802908</v>
      </c>
      <c r="AD41">
        <f t="shared" si="24"/>
        <v>194.04635890002527</v>
      </c>
      <c r="AE41">
        <f t="shared" si="25"/>
        <v>175.43323599999997</v>
      </c>
      <c r="AF41">
        <f t="shared" si="26"/>
        <v>180.34914407304939</v>
      </c>
      <c r="AG41">
        <f t="shared" si="27"/>
        <v>122.56020145104415</v>
      </c>
      <c r="AH41">
        <f t="shared" si="28"/>
        <v>126.47433413100669</v>
      </c>
      <c r="AI41">
        <f t="shared" si="29"/>
        <v>110.10427678464131</v>
      </c>
    </row>
    <row r="42" spans="1:35" x14ac:dyDescent="0.35">
      <c r="A42">
        <f t="shared" si="20"/>
        <v>38</v>
      </c>
      <c r="B42" s="1">
        <v>42062</v>
      </c>
      <c r="C42" s="2">
        <v>6.9222284313680493E-2</v>
      </c>
      <c r="D42" s="2">
        <v>5.7369189110279439E-2</v>
      </c>
      <c r="E42" s="3">
        <v>4.996291563386146E-2</v>
      </c>
      <c r="F42" s="3">
        <v>3.6863333543561083E-2</v>
      </c>
      <c r="G42" s="3">
        <v>-1.3365791189076659E-2</v>
      </c>
      <c r="H42" s="3">
        <v>-1.2808202918782041E-2</v>
      </c>
      <c r="I42" s="3">
        <v>2.7981751185661707E-3</v>
      </c>
      <c r="J42" s="2">
        <v>-4.0605203642402055E-3</v>
      </c>
      <c r="K42" s="2">
        <v>2.0897326483941825E-3</v>
      </c>
      <c r="Z42" s="1">
        <f t="shared" si="19"/>
        <v>42062</v>
      </c>
      <c r="AA42">
        <f t="shared" si="21"/>
        <v>166.54251676413725</v>
      </c>
      <c r="AB42">
        <f t="shared" si="22"/>
        <v>180.21983776565406</v>
      </c>
      <c r="AC42">
        <f t="shared" si="23"/>
        <v>204.72637682185905</v>
      </c>
      <c r="AD42">
        <f t="shared" si="24"/>
        <v>201.19955455107046</v>
      </c>
      <c r="AE42">
        <f t="shared" si="25"/>
        <v>173.08843199999995</v>
      </c>
      <c r="AF42">
        <f t="shared" si="26"/>
        <v>178.03919563953312</v>
      </c>
      <c r="AG42">
        <f t="shared" si="27"/>
        <v>122.90314635727091</v>
      </c>
      <c r="AH42">
        <f t="shared" si="28"/>
        <v>125.96078252171401</v>
      </c>
      <c r="AI42">
        <f t="shared" si="29"/>
        <v>110.33436528656601</v>
      </c>
    </row>
    <row r="43" spans="1:35" x14ac:dyDescent="0.35">
      <c r="A43">
        <f t="shared" si="20"/>
        <v>39</v>
      </c>
      <c r="B43" s="1">
        <v>42094</v>
      </c>
      <c r="C43" s="2">
        <v>-5.1737509909355328E-4</v>
      </c>
      <c r="D43" s="2">
        <v>-1.8044981450211495E-3</v>
      </c>
      <c r="E43" s="3">
        <v>9.28859111742808E-3</v>
      </c>
      <c r="F43" s="3">
        <v>-1.9610765434959543E-2</v>
      </c>
      <c r="G43" s="3">
        <v>1.010898290418405E-2</v>
      </c>
      <c r="H43" s="3">
        <v>-1.11834502164192E-2</v>
      </c>
      <c r="I43" s="3">
        <v>7.5970383792796081E-3</v>
      </c>
      <c r="J43" s="2">
        <v>7.8423637317570627E-3</v>
      </c>
      <c r="K43" s="2">
        <v>2.052870174915844E-3</v>
      </c>
      <c r="Z43" s="1">
        <f t="shared" si="19"/>
        <v>42094</v>
      </c>
      <c r="AA43">
        <f t="shared" si="21"/>
        <v>166.4563518130231</v>
      </c>
      <c r="AB43">
        <f t="shared" si="22"/>
        <v>179.89463140270993</v>
      </c>
      <c r="AC43">
        <f t="shared" si="23"/>
        <v>206.62799642710979</v>
      </c>
      <c r="AD43">
        <f t="shared" si="24"/>
        <v>197.25387728115106</v>
      </c>
      <c r="AE43">
        <f t="shared" si="25"/>
        <v>174.83817999999997</v>
      </c>
      <c r="AF43">
        <f t="shared" si="26"/>
        <v>176.04810315852708</v>
      </c>
      <c r="AG43">
        <f t="shared" si="27"/>
        <v>123.83684627708132</v>
      </c>
      <c r="AH43">
        <f t="shared" si="28"/>
        <v>126.94861279418603</v>
      </c>
      <c r="AI43">
        <f t="shared" si="29"/>
        <v>110.56086741433107</v>
      </c>
    </row>
    <row r="44" spans="1:35" x14ac:dyDescent="0.35">
      <c r="A44">
        <f t="shared" si="20"/>
        <v>40</v>
      </c>
      <c r="B44" s="1">
        <v>42124</v>
      </c>
      <c r="C44" s="2">
        <v>-1.6474947430247577E-2</v>
      </c>
      <c r="D44" s="2">
        <v>1.7754764626337849E-2</v>
      </c>
      <c r="E44" s="3">
        <v>-2.693785112769076E-3</v>
      </c>
      <c r="F44" s="3">
        <v>-9.8959667858640188E-3</v>
      </c>
      <c r="G44" s="3">
        <v>-3.5024455184788583E-2</v>
      </c>
      <c r="H44" s="3">
        <v>9.6257849079888214E-3</v>
      </c>
      <c r="I44" s="3">
        <v>-1.1079881710328476E-2</v>
      </c>
      <c r="J44" s="2">
        <v>-3.5442376000922593E-3</v>
      </c>
      <c r="K44" s="2">
        <v>1.7972225849973711E-3</v>
      </c>
      <c r="Z44" s="1">
        <f t="shared" si="19"/>
        <v>42124</v>
      </c>
      <c r="AA44">
        <f t="shared" si="21"/>
        <v>163.71399216747275</v>
      </c>
      <c r="AB44">
        <f t="shared" si="22"/>
        <v>183.08861824080685</v>
      </c>
      <c r="AC44">
        <f t="shared" si="23"/>
        <v>206.07138500645314</v>
      </c>
      <c r="AD44">
        <f t="shared" si="24"/>
        <v>195.30185946319389</v>
      </c>
      <c r="AE44">
        <f t="shared" si="25"/>
        <v>168.71456799999996</v>
      </c>
      <c r="AF44">
        <f t="shared" si="26"/>
        <v>177.74270433299048</v>
      </c>
      <c r="AG44">
        <f t="shared" si="27"/>
        <v>122.46474866895113</v>
      </c>
      <c r="AH44">
        <f t="shared" si="28"/>
        <v>126.49867674744132</v>
      </c>
      <c r="AI44">
        <f t="shared" si="29"/>
        <v>110.759569902265</v>
      </c>
    </row>
    <row r="45" spans="1:35" x14ac:dyDescent="0.35">
      <c r="A45">
        <f t="shared" si="20"/>
        <v>41</v>
      </c>
      <c r="B45" s="1">
        <v>42153</v>
      </c>
      <c r="C45" s="2">
        <v>4.2871454329811431E-3</v>
      </c>
      <c r="D45" s="2">
        <v>1.0611719931476138E-2</v>
      </c>
      <c r="E45" s="3">
        <v>3.0137583603791818E-2</v>
      </c>
      <c r="F45" s="3">
        <v>2.725539816877709E-2</v>
      </c>
      <c r="G45" s="3">
        <v>-6.8140648055953212E-3</v>
      </c>
      <c r="H45" s="3">
        <v>-3.6777129873958314E-3</v>
      </c>
      <c r="I45" s="3">
        <v>3.6174364449448326E-4</v>
      </c>
      <c r="J45" s="2">
        <v>-2.6009229323226135E-3</v>
      </c>
      <c r="K45" s="2">
        <v>2.0026329620910222E-3</v>
      </c>
      <c r="Z45" s="1">
        <f t="shared" si="19"/>
        <v>42153</v>
      </c>
      <c r="AA45">
        <f t="shared" si="21"/>
        <v>164.41585786130864</v>
      </c>
      <c r="AB45">
        <f t="shared" si="22"/>
        <v>185.03150338021925</v>
      </c>
      <c r="AC45">
        <f t="shared" si="23"/>
        <v>212.28187860043428</v>
      </c>
      <c r="AD45">
        <f t="shared" si="24"/>
        <v>200.62488940596577</v>
      </c>
      <c r="AE45">
        <f t="shared" si="25"/>
        <v>167.56493599999993</v>
      </c>
      <c r="AF45">
        <f t="shared" si="26"/>
        <v>177.08901768085019</v>
      </c>
      <c r="AG45">
        <f t="shared" si="27"/>
        <v>122.50904951345674</v>
      </c>
      <c r="AH45">
        <f t="shared" si="28"/>
        <v>126.16966343818044</v>
      </c>
      <c r="AI45">
        <f t="shared" si="29"/>
        <v>110.9813806678183</v>
      </c>
    </row>
    <row r="46" spans="1:35" x14ac:dyDescent="0.35">
      <c r="A46">
        <f t="shared" si="20"/>
        <v>42</v>
      </c>
      <c r="B46" s="1">
        <v>42185</v>
      </c>
      <c r="C46" s="2">
        <v>-5.315258716397242E-2</v>
      </c>
      <c r="D46" s="2">
        <v>-2.6721174026316796E-2</v>
      </c>
      <c r="E46" s="3">
        <v>-2.6806090460308352E-2</v>
      </c>
      <c r="F46" s="3">
        <v>-3.9727077530927191E-2</v>
      </c>
      <c r="G46" s="3">
        <v>-4.3139789102417003E-2</v>
      </c>
      <c r="H46" s="3">
        <v>-4.2256773676746961E-2</v>
      </c>
      <c r="I46" s="3">
        <v>-9.2566986270272711E-3</v>
      </c>
      <c r="J46" s="2">
        <v>-1.0677059219945773E-2</v>
      </c>
      <c r="K46" s="2">
        <v>1.7589488313731749E-3</v>
      </c>
      <c r="Z46" s="1">
        <f t="shared" si="19"/>
        <v>42185</v>
      </c>
      <c r="AA46">
        <f t="shared" si="21"/>
        <v>155.67672964519613</v>
      </c>
      <c r="AB46">
        <f t="shared" si="22"/>
        <v>180.0872443780454</v>
      </c>
      <c r="AC46">
        <f t="shared" si="23"/>
        <v>206.59143135958684</v>
      </c>
      <c r="AD46">
        <f t="shared" si="24"/>
        <v>192.65464886990128</v>
      </c>
      <c r="AE46">
        <f t="shared" si="25"/>
        <v>160.33621999999994</v>
      </c>
      <c r="AF46">
        <f t="shared" si="26"/>
        <v>169.60580714007307</v>
      </c>
      <c r="AG46">
        <f t="shared" si="27"/>
        <v>121.37502016302712</v>
      </c>
      <c r="AH46">
        <f t="shared" si="28"/>
        <v>124.82254246989035</v>
      </c>
      <c r="AI46">
        <f t="shared" si="29"/>
        <v>111.17659123764814</v>
      </c>
    </row>
    <row r="47" spans="1:35" x14ac:dyDescent="0.35">
      <c r="A47">
        <f t="shared" si="20"/>
        <v>43</v>
      </c>
      <c r="B47" s="1">
        <v>42216</v>
      </c>
      <c r="C47" s="2">
        <v>4.3134148523510829E-2</v>
      </c>
      <c r="D47" s="2">
        <v>1.9704792012305239E-2</v>
      </c>
      <c r="E47" s="3">
        <v>5.6207325695321719E-2</v>
      </c>
      <c r="F47" s="3">
        <v>5.6690065124454625E-2</v>
      </c>
      <c r="G47" s="3">
        <v>5.4186259349260135E-2</v>
      </c>
      <c r="H47" s="3">
        <v>3.8485012884849956E-2</v>
      </c>
      <c r="I47" s="3">
        <v>1.3000126109606658E-2</v>
      </c>
      <c r="J47" s="2">
        <v>1.2109177267833005E-2</v>
      </c>
      <c r="K47" s="2">
        <v>1.8036206657969789E-3</v>
      </c>
      <c r="Z47" s="1">
        <f t="shared" si="19"/>
        <v>42216</v>
      </c>
      <c r="AA47">
        <f t="shared" si="21"/>
        <v>162.39171282336648</v>
      </c>
      <c r="AB47">
        <f t="shared" si="22"/>
        <v>183.63582607258397</v>
      </c>
      <c r="AC47">
        <f t="shared" si="23"/>
        <v>218.20338322787782</v>
      </c>
      <c r="AD47">
        <f t="shared" si="24"/>
        <v>203.57625346086493</v>
      </c>
      <c r="AE47">
        <f t="shared" si="25"/>
        <v>169.02423999999996</v>
      </c>
      <c r="AF47">
        <f t="shared" si="26"/>
        <v>176.13308881320415</v>
      </c>
      <c r="AG47">
        <f t="shared" si="27"/>
        <v>122.95291073170252</v>
      </c>
      <c r="AH47">
        <f t="shared" si="28"/>
        <v>126.33404076367987</v>
      </c>
      <c r="AI47">
        <f t="shared" si="29"/>
        <v>111.37711163515722</v>
      </c>
    </row>
    <row r="48" spans="1:35" x14ac:dyDescent="0.35">
      <c r="A48">
        <f t="shared" si="20"/>
        <v>44</v>
      </c>
      <c r="B48" s="1">
        <v>42247</v>
      </c>
      <c r="C48" s="2">
        <v>-7.697734854798699E-2</v>
      </c>
      <c r="D48" s="2">
        <v>-6.6457491025452065E-2</v>
      </c>
      <c r="E48" s="3">
        <v>-3.3842464118704618E-2</v>
      </c>
      <c r="F48" s="3">
        <v>-4.0206674125214614E-2</v>
      </c>
      <c r="G48" s="3">
        <v>-5.4957490120943531E-2</v>
      </c>
      <c r="H48" s="3">
        <v>-5.2364834223977974E-2</v>
      </c>
      <c r="I48" s="3">
        <v>6.3707992300119365E-3</v>
      </c>
      <c r="J48" s="2">
        <v>-9.8514804860827532E-4</v>
      </c>
      <c r="K48" s="2">
        <v>1.80943568471581E-3</v>
      </c>
      <c r="Z48" s="1">
        <f t="shared" si="19"/>
        <v>42247</v>
      </c>
      <c r="AA48">
        <f t="shared" si="21"/>
        <v>149.89122934405759</v>
      </c>
      <c r="AB48">
        <f t="shared" si="22"/>
        <v>171.43184980941373</v>
      </c>
      <c r="AC48">
        <f t="shared" si="23"/>
        <v>210.81884306040843</v>
      </c>
      <c r="AD48">
        <f t="shared" si="24"/>
        <v>195.39112937833184</v>
      </c>
      <c r="AE48">
        <f t="shared" si="25"/>
        <v>159.73509199999998</v>
      </c>
      <c r="AF48">
        <f t="shared" si="26"/>
        <v>166.90990881614354</v>
      </c>
      <c r="AG48">
        <f t="shared" si="27"/>
        <v>123.73621904071977</v>
      </c>
      <c r="AH48">
        <f t="shared" si="28"/>
        <v>126.20958302994873</v>
      </c>
      <c r="AI48">
        <f t="shared" si="29"/>
        <v>111.57864135541045</v>
      </c>
    </row>
    <row r="49" spans="1:35" x14ac:dyDescent="0.35">
      <c r="A49">
        <f t="shared" si="20"/>
        <v>45</v>
      </c>
      <c r="B49" s="1">
        <v>42277</v>
      </c>
      <c r="C49" s="2">
        <v>-2.8578776439352582E-2</v>
      </c>
      <c r="D49" s="2">
        <v>-3.2492064621595818E-2</v>
      </c>
      <c r="E49" s="3">
        <v>-2.6706779906902511E-2</v>
      </c>
      <c r="F49" s="3">
        <v>-2.8293900827368601E-3</v>
      </c>
      <c r="G49" s="3">
        <v>2.4923815738622901E-2</v>
      </c>
      <c r="H49" s="3">
        <v>-8.1850165959059806E-3</v>
      </c>
      <c r="I49" s="3">
        <v>2.5002280739729876E-3</v>
      </c>
      <c r="J49" s="2">
        <v>7.5308744447029063E-3</v>
      </c>
      <c r="K49" s="2">
        <v>1.7618523082705284E-3</v>
      </c>
      <c r="Z49" s="1">
        <f t="shared" si="19"/>
        <v>42277</v>
      </c>
      <c r="AA49">
        <f t="shared" si="21"/>
        <v>145.60752141041405</v>
      </c>
      <c r="AB49">
        <f t="shared" si="22"/>
        <v>165.86167506720656</v>
      </c>
      <c r="AC49">
        <f t="shared" si="23"/>
        <v>205.18855061856627</v>
      </c>
      <c r="AD49">
        <f t="shared" si="24"/>
        <v>194.83829165461404</v>
      </c>
      <c r="AE49">
        <f t="shared" si="25"/>
        <v>163.71629999999996</v>
      </c>
      <c r="AF49">
        <f t="shared" si="26"/>
        <v>165.54374844246226</v>
      </c>
      <c r="AG49">
        <f t="shared" si="27"/>
        <v>124.04558780933266</v>
      </c>
      <c r="AH49">
        <f t="shared" si="28"/>
        <v>127.16005155346558</v>
      </c>
      <c r="AI49">
        <f t="shared" si="29"/>
        <v>111.77522644223617</v>
      </c>
    </row>
    <row r="50" spans="1:35" x14ac:dyDescent="0.35">
      <c r="A50">
        <f t="shared" si="20"/>
        <v>46</v>
      </c>
      <c r="B50" s="1">
        <v>42307</v>
      </c>
      <c r="C50" s="2">
        <v>4.4204664269559268E-2</v>
      </c>
      <c r="D50" s="2">
        <v>7.7355281818521249E-2</v>
      </c>
      <c r="E50" s="3">
        <v>6.213305108623568E-2</v>
      </c>
      <c r="F50" s="3">
        <v>4.8719300616509642E-2</v>
      </c>
      <c r="G50" s="3">
        <v>5.7685056405501367E-2</v>
      </c>
      <c r="H50" s="3">
        <v>4.3107873903292848E-2</v>
      </c>
      <c r="I50" s="3">
        <v>2.9917656532578718E-3</v>
      </c>
      <c r="J50" s="2">
        <v>4.9104683958307582E-3</v>
      </c>
      <c r="K50" s="2">
        <v>1.8910784569130534E-3</v>
      </c>
      <c r="Z50" s="1">
        <f t="shared" si="19"/>
        <v>42307</v>
      </c>
      <c r="AA50">
        <f t="shared" si="21"/>
        <v>152.04405300948406</v>
      </c>
      <c r="AB50">
        <f t="shared" si="22"/>
        <v>178.69195168492232</v>
      </c>
      <c r="AC50">
        <f t="shared" si="23"/>
        <v>217.93754131646031</v>
      </c>
      <c r="AD50">
        <f t="shared" si="24"/>
        <v>204.33067695734238</v>
      </c>
      <c r="AE50">
        <f t="shared" si="25"/>
        <v>173.16028399999993</v>
      </c>
      <c r="AF50">
        <f t="shared" si="26"/>
        <v>172.67998747579836</v>
      </c>
      <c r="AG50">
        <f t="shared" si="27"/>
        <v>124.41670313837881</v>
      </c>
      <c r="AH50">
        <f t="shared" si="28"/>
        <v>127.78446696783108</v>
      </c>
      <c r="AI50">
        <f t="shared" si="29"/>
        <v>111.98660216497767</v>
      </c>
    </row>
    <row r="51" spans="1:35" x14ac:dyDescent="0.35">
      <c r="A51">
        <f t="shared" si="20"/>
        <v>47</v>
      </c>
      <c r="B51" s="1">
        <v>42338</v>
      </c>
      <c r="C51" s="2">
        <v>-6.8165581202057623E-3</v>
      </c>
      <c r="D51" s="2">
        <v>5.06296978294829E-3</v>
      </c>
      <c r="E51" s="3">
        <v>-2.3657338007818773E-2</v>
      </c>
      <c r="F51" s="3">
        <v>-2.8325214795332121E-2</v>
      </c>
      <c r="G51" s="3">
        <v>-5.3241538920090203E-3</v>
      </c>
      <c r="H51" s="3">
        <v>-2.1743715747911896E-2</v>
      </c>
      <c r="I51" s="3">
        <v>-8.7592802843062811E-3</v>
      </c>
      <c r="J51" s="2">
        <v>2.037108320521952E-3</v>
      </c>
      <c r="K51" s="2">
        <v>1.667043605446894E-3</v>
      </c>
      <c r="Z51" s="1">
        <f t="shared" si="19"/>
        <v>42338</v>
      </c>
      <c r="AA51">
        <f t="shared" si="21"/>
        <v>151.00763588531328</v>
      </c>
      <c r="AB51">
        <f t="shared" si="22"/>
        <v>179.59666363675913</v>
      </c>
      <c r="AC51">
        <f t="shared" si="23"/>
        <v>212.78171923694384</v>
      </c>
      <c r="AD51">
        <f t="shared" si="24"/>
        <v>198.54296664325003</v>
      </c>
      <c r="AE51">
        <f t="shared" si="25"/>
        <v>172.23835199999994</v>
      </c>
      <c r="AF51">
        <f t="shared" si="26"/>
        <v>168.92528291277162</v>
      </c>
      <c r="AG51">
        <f t="shared" si="27"/>
        <v>123.32690236354041</v>
      </c>
      <c r="AH51">
        <f t="shared" si="28"/>
        <v>128.04477776872471</v>
      </c>
      <c r="AI51">
        <f t="shared" si="29"/>
        <v>112.17328871401251</v>
      </c>
    </row>
    <row r="52" spans="1:35" x14ac:dyDescent="0.35">
      <c r="A52">
        <f t="shared" si="20"/>
        <v>48</v>
      </c>
      <c r="B52" s="1">
        <v>42369</v>
      </c>
      <c r="C52" s="2">
        <v>2.728074787983692E-2</v>
      </c>
      <c r="D52" s="2">
        <v>-1.9586414757162607E-2</v>
      </c>
      <c r="E52" s="3">
        <v>-2.2929887188272602E-2</v>
      </c>
      <c r="F52" s="3">
        <v>4.0449454392530892E-2</v>
      </c>
      <c r="G52" s="3">
        <v>8.7369855930807816E-3</v>
      </c>
      <c r="H52" s="3">
        <v>-2.1160298528916655E-2</v>
      </c>
      <c r="I52" s="3">
        <v>3.3283328450042227E-3</v>
      </c>
      <c r="J52" s="2">
        <v>-9.5773336586379987E-4</v>
      </c>
      <c r="K52" s="2">
        <v>1.9155021730612454E-3</v>
      </c>
      <c r="Z52" s="1">
        <f t="shared" si="19"/>
        <v>42369</v>
      </c>
      <c r="AA52">
        <f t="shared" si="21"/>
        <v>155.12723712783071</v>
      </c>
      <c r="AB52">
        <f t="shared" si="22"/>
        <v>176.07900889376694</v>
      </c>
      <c r="AC52">
        <f t="shared" si="23"/>
        <v>207.90265841911403</v>
      </c>
      <c r="AD52">
        <f t="shared" si="24"/>
        <v>206.57392131744396</v>
      </c>
      <c r="AE52">
        <f t="shared" si="25"/>
        <v>173.7431959999999</v>
      </c>
      <c r="AF52">
        <f t="shared" si="26"/>
        <v>165.35077349725566</v>
      </c>
      <c r="AG52">
        <f t="shared" si="27"/>
        <v>123.73737534334961</v>
      </c>
      <c r="AH52">
        <f t="shared" si="28"/>
        <v>127.92214501273099</v>
      </c>
      <c r="AI52">
        <f t="shared" si="29"/>
        <v>112.38815689230363</v>
      </c>
    </row>
    <row r="53" spans="1:35" x14ac:dyDescent="0.35">
      <c r="A53">
        <f t="shared" si="20"/>
        <v>49</v>
      </c>
      <c r="B53" s="1">
        <v>42398</v>
      </c>
      <c r="C53" s="2">
        <v>-5.4497286984208082E-2</v>
      </c>
      <c r="D53" s="2">
        <v>-5.3462464151798117E-2</v>
      </c>
      <c r="E53" s="3">
        <v>-3.2737758952069207E-2</v>
      </c>
      <c r="F53" s="3">
        <v>9.4928308789112847E-3</v>
      </c>
      <c r="G53" s="3">
        <v>-2.9484573312442031E-2</v>
      </c>
      <c r="H53" s="3">
        <v>5.8507781071148734E-3</v>
      </c>
      <c r="I53" s="3">
        <v>1.2222080881926223E-2</v>
      </c>
      <c r="J53" s="2">
        <v>1.6516911538057011E-2</v>
      </c>
      <c r="K53" s="2">
        <v>2.0100609123394619E-3</v>
      </c>
      <c r="Z53" s="1">
        <f t="shared" si="19"/>
        <v>42398</v>
      </c>
      <c r="AA53">
        <f t="shared" si="21"/>
        <v>146.67322356700802</v>
      </c>
      <c r="AB53">
        <f t="shared" si="22"/>
        <v>166.66539119289979</v>
      </c>
      <c r="AC53">
        <f t="shared" si="23"/>
        <v>201.09639130229471</v>
      </c>
      <c r="AD53">
        <f t="shared" si="24"/>
        <v>208.53489261650398</v>
      </c>
      <c r="AE53">
        <f t="shared" si="25"/>
        <v>168.62045199999991</v>
      </c>
      <c r="AF53">
        <f t="shared" si="26"/>
        <v>166.31820418282791</v>
      </c>
      <c r="AG53">
        <f t="shared" si="27"/>
        <v>125.24970355291329</v>
      </c>
      <c r="AH53">
        <f t="shared" si="28"/>
        <v>130.03502376566476</v>
      </c>
      <c r="AI53">
        <f t="shared" si="29"/>
        <v>112.61406393348273</v>
      </c>
    </row>
    <row r="54" spans="1:35" x14ac:dyDescent="0.35">
      <c r="A54">
        <f t="shared" si="20"/>
        <v>50</v>
      </c>
      <c r="B54" s="1">
        <v>42429</v>
      </c>
      <c r="C54" s="2">
        <v>-1.7247140914659176E-2</v>
      </c>
      <c r="D54" s="2">
        <v>-1.2259355952745077E-2</v>
      </c>
      <c r="E54" s="3">
        <v>-1.6143460729262316E-2</v>
      </c>
      <c r="F54" s="3">
        <v>2.8095098607350932E-2</v>
      </c>
      <c r="G54" s="3">
        <v>-1.2903535568746793E-3</v>
      </c>
      <c r="H54" s="3">
        <v>6.0280540795980553E-3</v>
      </c>
      <c r="I54" s="3">
        <v>1.0343393843954773E-2</v>
      </c>
      <c r="J54" s="2">
        <v>1.0917522062635188E-2</v>
      </c>
      <c r="K54" s="2">
        <v>1.7788323736693812E-3</v>
      </c>
      <c r="Z54" s="1">
        <f t="shared" si="19"/>
        <v>42429</v>
      </c>
      <c r="AA54">
        <f t="shared" si="21"/>
        <v>144.14352981174054</v>
      </c>
      <c r="AB54">
        <f t="shared" si="22"/>
        <v>164.62218083726253</v>
      </c>
      <c r="AC54">
        <f t="shared" si="23"/>
        <v>197.84999960650975</v>
      </c>
      <c r="AD54">
        <f t="shared" si="24"/>
        <v>214.393700987638</v>
      </c>
      <c r="AE54">
        <f t="shared" si="25"/>
        <v>168.40287199999989</v>
      </c>
      <c r="AF54">
        <f t="shared" si="26"/>
        <v>167.32077931206362</v>
      </c>
      <c r="AG54">
        <f t="shared" si="27"/>
        <v>126.54521056559965</v>
      </c>
      <c r="AH54">
        <f t="shared" si="28"/>
        <v>131.4546840065417</v>
      </c>
      <c r="AI54">
        <f t="shared" si="29"/>
        <v>112.81438547613809</v>
      </c>
    </row>
    <row r="55" spans="1:35" x14ac:dyDescent="0.35">
      <c r="A55">
        <f t="shared" si="20"/>
        <v>51</v>
      </c>
      <c r="B55" s="1">
        <v>42460</v>
      </c>
      <c r="C55" s="2">
        <v>4.7761546062259574E-2</v>
      </c>
      <c r="D55" s="2">
        <v>5.469897159403625E-2</v>
      </c>
      <c r="E55" s="3">
        <v>-3.5383779387392345E-3</v>
      </c>
      <c r="F55" s="3">
        <v>2.4974337456638018E-2</v>
      </c>
      <c r="G55" s="3">
        <v>7.9931012102929078E-2</v>
      </c>
      <c r="H55" s="3">
        <v>5.2923025220353415E-2</v>
      </c>
      <c r="I55" s="3">
        <v>-2.131885166716585E-3</v>
      </c>
      <c r="J55" s="2">
        <v>9.2474603781385056E-3</v>
      </c>
      <c r="K55" s="2">
        <v>1.9806368696819732E-3</v>
      </c>
      <c r="Z55" s="1">
        <f t="shared" si="19"/>
        <v>42460</v>
      </c>
      <c r="AA55">
        <f t="shared" si="21"/>
        <v>151.02804765042066</v>
      </c>
      <c r="AB55">
        <f t="shared" si="22"/>
        <v>173.62684483062824</v>
      </c>
      <c r="AC55">
        <f t="shared" si="23"/>
        <v>197.14993153272252</v>
      </c>
      <c r="AD55">
        <f t="shared" si="24"/>
        <v>219.74804162468081</v>
      </c>
      <c r="AE55">
        <f t="shared" si="25"/>
        <v>181.86348399999989</v>
      </c>
      <c r="AF55">
        <f t="shared" si="26"/>
        <v>176.17590113548516</v>
      </c>
      <c r="AG55">
        <f t="shared" si="27"/>
        <v>126.27543070827582</v>
      </c>
      <c r="AH55">
        <f t="shared" si="28"/>
        <v>132.67030598841291</v>
      </c>
      <c r="AI55">
        <f t="shared" si="29"/>
        <v>113.03782980744263</v>
      </c>
    </row>
    <row r="56" spans="1:35" x14ac:dyDescent="0.35">
      <c r="A56">
        <f t="shared" si="20"/>
        <v>52</v>
      </c>
      <c r="B56" s="1">
        <v>42489</v>
      </c>
      <c r="C56" s="2">
        <v>3.3397645382714058E-2</v>
      </c>
      <c r="D56" s="2">
        <v>8.5009475853470295E-3</v>
      </c>
      <c r="E56" s="3">
        <v>2.2795539060167958E-2</v>
      </c>
      <c r="F56" s="3">
        <v>2.7561954849042447E-2</v>
      </c>
      <c r="G56" s="3">
        <v>-1.3572092350325748E-2</v>
      </c>
      <c r="H56" s="3">
        <v>1.5741177324000155E-3</v>
      </c>
      <c r="I56" s="3">
        <v>2.5871925555518427E-3</v>
      </c>
      <c r="J56" s="2">
        <v>3.0805267298865679E-3</v>
      </c>
      <c r="K56" s="2">
        <v>1.9894924596193242E-3</v>
      </c>
      <c r="Z56" s="1">
        <f t="shared" si="19"/>
        <v>42489</v>
      </c>
      <c r="AA56">
        <f t="shared" si="21"/>
        <v>156.07202882869305</v>
      </c>
      <c r="AB56">
        <f t="shared" si="22"/>
        <v>175.10283753794261</v>
      </c>
      <c r="AC56">
        <f t="shared" si="23"/>
        <v>201.64407049768613</v>
      </c>
      <c r="AD56">
        <f t="shared" si="24"/>
        <v>225.80472722610577</v>
      </c>
      <c r="AE56">
        <f t="shared" si="25"/>
        <v>179.39521599999989</v>
      </c>
      <c r="AF56">
        <f t="shared" si="26"/>
        <v>176.45322274548408</v>
      </c>
      <c r="AG56">
        <f t="shared" si="27"/>
        <v>126.60212956255337</v>
      </c>
      <c r="AH56">
        <f t="shared" si="28"/>
        <v>133.07900041227245</v>
      </c>
      <c r="AI56">
        <f t="shared" si="29"/>
        <v>113.26271771749627</v>
      </c>
    </row>
    <row r="57" spans="1:35" x14ac:dyDescent="0.35">
      <c r="A57">
        <f t="shared" si="20"/>
        <v>53</v>
      </c>
      <c r="B57" s="1">
        <v>42521</v>
      </c>
      <c r="C57" s="2">
        <v>3.1363232253898143E-2</v>
      </c>
      <c r="D57" s="2">
        <v>1.6641746643907052E-2</v>
      </c>
      <c r="E57" s="3">
        <v>5.5787179699958278E-2</v>
      </c>
      <c r="F57" s="3">
        <v>2.6759086571748636E-2</v>
      </c>
      <c r="G57" s="3">
        <v>1.9727192725139453E-2</v>
      </c>
      <c r="H57" s="3">
        <v>1.0642997856190828E-2</v>
      </c>
      <c r="I57" s="3">
        <v>1.2560537041476971E-2</v>
      </c>
      <c r="J57" s="2">
        <v>5.6622682352454046E-3</v>
      </c>
      <c r="K57" s="2">
        <v>1.9351063237087462E-3</v>
      </c>
      <c r="Z57" s="1">
        <f t="shared" si="19"/>
        <v>42521</v>
      </c>
      <c r="AA57">
        <f t="shared" si="21"/>
        <v>160.96695211718443</v>
      </c>
      <c r="AB57">
        <f t="shared" si="22"/>
        <v>178.01685459687826</v>
      </c>
      <c r="AC57">
        <f t="shared" si="23"/>
        <v>212.89322449397159</v>
      </c>
      <c r="AD57">
        <f t="shared" si="24"/>
        <v>231.84705547025922</v>
      </c>
      <c r="AE57">
        <f t="shared" si="25"/>
        <v>182.93417999999991</v>
      </c>
      <c r="AF57">
        <f t="shared" si="26"/>
        <v>178.33121401688223</v>
      </c>
      <c r="AG57">
        <f t="shared" si="27"/>
        <v>128.1923203004537</v>
      </c>
      <c r="AH57">
        <f t="shared" si="28"/>
        <v>133.83252940908508</v>
      </c>
      <c r="AI57">
        <f t="shared" si="29"/>
        <v>113.48189311879185</v>
      </c>
    </row>
    <row r="58" spans="1:35" x14ac:dyDescent="0.35">
      <c r="A58">
        <f t="shared" si="20"/>
        <v>54</v>
      </c>
      <c r="B58" s="1">
        <v>42551</v>
      </c>
      <c r="C58" s="2">
        <v>-2.4422295367439006E-2</v>
      </c>
      <c r="D58" s="2">
        <v>-8.4469792448595982E-3</v>
      </c>
      <c r="E58" s="3">
        <v>-3.2910931032473445E-2</v>
      </c>
      <c r="F58" s="3">
        <v>3.5281130261195059E-2</v>
      </c>
      <c r="G58" s="3">
        <v>4.1523525018670515E-2</v>
      </c>
      <c r="H58" s="3">
        <v>4.4001246940874372E-2</v>
      </c>
      <c r="I58" s="3">
        <v>1.3268510660416233E-2</v>
      </c>
      <c r="J58" s="2">
        <v>1.9759720170666073E-2</v>
      </c>
      <c r="K58" s="2">
        <v>1.6484131514098443E-3</v>
      </c>
      <c r="Z58" s="1">
        <f t="shared" si="19"/>
        <v>42551</v>
      </c>
      <c r="AA58">
        <f t="shared" si="21"/>
        <v>157.03576966818216</v>
      </c>
      <c r="AB58">
        <f t="shared" si="22"/>
        <v>176.51314992086324</v>
      </c>
      <c r="AC58">
        <f t="shared" si="23"/>
        <v>205.8867102653696</v>
      </c>
      <c r="AD58">
        <f t="shared" si="24"/>
        <v>240.02688163497996</v>
      </c>
      <c r="AE58">
        <f t="shared" si="25"/>
        <v>190.53025199999988</v>
      </c>
      <c r="AF58">
        <f t="shared" si="26"/>
        <v>186.17800980210498</v>
      </c>
      <c r="AG58">
        <f t="shared" si="27"/>
        <v>129.89324146894376</v>
      </c>
      <c r="AH58">
        <f t="shared" si="28"/>
        <v>136.47702273994105</v>
      </c>
      <c r="AI58">
        <f t="shared" si="29"/>
        <v>113.66895816385575</v>
      </c>
    </row>
    <row r="59" spans="1:35" x14ac:dyDescent="0.35">
      <c r="A59">
        <f t="shared" si="20"/>
        <v>55</v>
      </c>
      <c r="B59" s="1">
        <v>42580</v>
      </c>
      <c r="C59" s="2">
        <v>6.3592269984261485E-2</v>
      </c>
      <c r="D59" s="2">
        <v>4.1168314125550554E-2</v>
      </c>
      <c r="E59" s="3">
        <v>2.1082750537643635E-2</v>
      </c>
      <c r="F59" s="3">
        <v>5.3646887854978731E-2</v>
      </c>
      <c r="G59" s="3">
        <v>4.6714576328802604E-2</v>
      </c>
      <c r="H59" s="3">
        <v>1.620658765869365E-2</v>
      </c>
      <c r="I59" s="3">
        <v>7.3537863704307149E-3</v>
      </c>
      <c r="J59" s="2">
        <v>7.0208533453450794E-3</v>
      </c>
      <c r="K59" s="2">
        <v>1.7301524703314808E-3</v>
      </c>
      <c r="Z59" s="1">
        <f t="shared" si="19"/>
        <v>42580</v>
      </c>
      <c r="AA59">
        <f t="shared" si="21"/>
        <v>167.0220307301075</v>
      </c>
      <c r="AB59">
        <f t="shared" si="22"/>
        <v>183.77989872409574</v>
      </c>
      <c r="AC59">
        <f t="shared" si="23"/>
        <v>210.22736841691051</v>
      </c>
      <c r="AD59">
        <f t="shared" si="24"/>
        <v>252.90357683623199</v>
      </c>
      <c r="AE59">
        <f t="shared" si="25"/>
        <v>199.43079199999985</v>
      </c>
      <c r="AF59">
        <f t="shared" si="26"/>
        <v>189.19532003808393</v>
      </c>
      <c r="AG59">
        <f t="shared" si="27"/>
        <v>130.84844861766913</v>
      </c>
      <c r="AH59">
        <f t="shared" si="28"/>
        <v>137.4352079016075</v>
      </c>
      <c r="AI59">
        <f t="shared" si="29"/>
        <v>113.86562279262294</v>
      </c>
    </row>
    <row r="60" spans="1:35" x14ac:dyDescent="0.35">
      <c r="A60">
        <f t="shared" si="20"/>
        <v>56</v>
      </c>
      <c r="B60" s="1">
        <v>42613</v>
      </c>
      <c r="C60" s="2">
        <v>-1.5568544153719888E-2</v>
      </c>
      <c r="D60" s="2">
        <v>8.6685908975878689E-3</v>
      </c>
      <c r="E60" s="3">
        <v>1.569048077734303E-2</v>
      </c>
      <c r="F60" s="3">
        <v>-2.6785843342639337E-2</v>
      </c>
      <c r="G60" s="3">
        <v>-2.4413140775171871E-2</v>
      </c>
      <c r="H60" s="3">
        <v>-2.8150699967914639E-2</v>
      </c>
      <c r="I60" s="3">
        <v>4.2183233059600589E-3</v>
      </c>
      <c r="J60" s="2">
        <v>5.4254968658318248E-4</v>
      </c>
      <c r="K60" s="2">
        <v>1.689272066220715E-3</v>
      </c>
      <c r="Z60" s="1">
        <f t="shared" si="19"/>
        <v>42613</v>
      </c>
      <c r="AA60">
        <f t="shared" si="21"/>
        <v>164.42174087004187</v>
      </c>
      <c r="AB60">
        <f t="shared" si="22"/>
        <v>185.37301148133506</v>
      </c>
      <c r="AC60">
        <f t="shared" si="23"/>
        <v>213.52593689992744</v>
      </c>
      <c r="AD60">
        <f t="shared" si="24"/>
        <v>246.12934124630354</v>
      </c>
      <c r="AE60">
        <f t="shared" si="25"/>
        <v>194.56205999999983</v>
      </c>
      <c r="AF60">
        <f t="shared" si="26"/>
        <v>183.86933934835824</v>
      </c>
      <c r="AG60">
        <f t="shared" si="27"/>
        <v>131.40040967802176</v>
      </c>
      <c r="AH60">
        <f t="shared" si="28"/>
        <v>137.50977333058</v>
      </c>
      <c r="AI60">
        <f t="shared" si="29"/>
        <v>114.05797280850935</v>
      </c>
    </row>
    <row r="61" spans="1:35" x14ac:dyDescent="0.35">
      <c r="A61">
        <f t="shared" si="20"/>
        <v>57</v>
      </c>
      <c r="B61" s="1">
        <v>42643</v>
      </c>
      <c r="C61" s="2">
        <v>5.1434234099598797E-3</v>
      </c>
      <c r="D61" s="2">
        <v>3.2236224911110778E-3</v>
      </c>
      <c r="E61" s="3">
        <v>-1.2150594786631275E-2</v>
      </c>
      <c r="F61" s="3">
        <v>-4.3116379936608995E-2</v>
      </c>
      <c r="G61" s="3">
        <v>-1.4272710722738058E-2</v>
      </c>
      <c r="H61" s="3">
        <v>2.0423979148566529E-2</v>
      </c>
      <c r="I61" s="3">
        <v>-2.2481392187545524E-3</v>
      </c>
      <c r="J61" s="2">
        <v>7.0475448021745102E-4</v>
      </c>
      <c r="K61" s="2">
        <v>1.415932206734638E-3</v>
      </c>
      <c r="Z61" s="1">
        <f t="shared" si="19"/>
        <v>42643</v>
      </c>
      <c r="AA61">
        <f t="shared" si="21"/>
        <v>165.26743150113921</v>
      </c>
      <c r="AB61">
        <f t="shared" si="22"/>
        <v>185.97058409039127</v>
      </c>
      <c r="AC61">
        <f t="shared" si="23"/>
        <v>210.93146976422062</v>
      </c>
      <c r="AD61">
        <f t="shared" si="24"/>
        <v>235.51713505558064</v>
      </c>
      <c r="AE61">
        <f t="shared" si="25"/>
        <v>191.78513199999983</v>
      </c>
      <c r="AF61">
        <f t="shared" si="26"/>
        <v>187.62468290126981</v>
      </c>
      <c r="AG61">
        <f t="shared" si="27"/>
        <v>131.10500326366417</v>
      </c>
      <c r="AH61">
        <f t="shared" si="28"/>
        <v>137.60668395940843</v>
      </c>
      <c r="AI61">
        <f t="shared" si="29"/>
        <v>114.21947116564378</v>
      </c>
    </row>
    <row r="62" spans="1:35" x14ac:dyDescent="0.35">
      <c r="A62">
        <f t="shared" si="20"/>
        <v>58</v>
      </c>
      <c r="B62" s="1">
        <v>42674</v>
      </c>
      <c r="C62" s="2">
        <v>-2.17479377396399E-2</v>
      </c>
      <c r="D62" s="2">
        <v>-4.175854012152258E-3</v>
      </c>
      <c r="E62" s="3">
        <v>-1.1195538946909944E-2</v>
      </c>
      <c r="F62" s="3">
        <v>-7.6992378301847464E-2</v>
      </c>
      <c r="G62" s="3">
        <v>-5.2186944293471038E-2</v>
      </c>
      <c r="H62" s="3">
        <v>-1.0251100886498832E-2</v>
      </c>
      <c r="I62" s="3">
        <v>-1.2763934083563688E-2</v>
      </c>
      <c r="J62" s="2">
        <v>-9.0397548713798681E-3</v>
      </c>
      <c r="K62" s="2">
        <v>1.4612039131101096E-3</v>
      </c>
      <c r="Z62" s="1">
        <f t="shared" si="19"/>
        <v>42674</v>
      </c>
      <c r="AA62">
        <f t="shared" si="21"/>
        <v>161.67320569046223</v>
      </c>
      <c r="AB62">
        <f t="shared" si="22"/>
        <v>185.1939980806751</v>
      </c>
      <c r="AC62">
        <f t="shared" si="23"/>
        <v>208.56997827934634</v>
      </c>
      <c r="AD62">
        <f t="shared" si="24"/>
        <v>217.38411069681408</v>
      </c>
      <c r="AE62">
        <f t="shared" si="25"/>
        <v>181.77645199999986</v>
      </c>
      <c r="AF62">
        <f t="shared" si="26"/>
        <v>185.70132334805155</v>
      </c>
      <c r="AG62">
        <f t="shared" si="27"/>
        <v>129.43158764398137</v>
      </c>
      <c r="AH62">
        <f t="shared" si="28"/>
        <v>136.36275326775194</v>
      </c>
      <c r="AI62">
        <f t="shared" si="29"/>
        <v>114.38636910386438</v>
      </c>
    </row>
    <row r="63" spans="1:35" x14ac:dyDescent="0.35">
      <c r="A63">
        <f t="shared" si="20"/>
        <v>59</v>
      </c>
      <c r="B63" s="1">
        <v>42704</v>
      </c>
      <c r="C63" s="2">
        <v>2.804952825921303E-2</v>
      </c>
      <c r="D63" s="2">
        <v>2.2168131427956039E-2</v>
      </c>
      <c r="E63" s="3">
        <v>3.8089183426362139E-2</v>
      </c>
      <c r="F63" s="3">
        <v>7.4702689291941127E-3</v>
      </c>
      <c r="G63" s="3">
        <v>-1.8099220024384688E-2</v>
      </c>
      <c r="H63" s="3">
        <v>-1.6296362566539546E-2</v>
      </c>
      <c r="I63" s="3">
        <v>-1.439944503872137E-2</v>
      </c>
      <c r="J63" s="2">
        <v>-1.6258338585646959E-2</v>
      </c>
      <c r="K63" s="2">
        <v>1.4454755969062205E-3</v>
      </c>
      <c r="Z63" s="1">
        <f t="shared" si="19"/>
        <v>42704</v>
      </c>
      <c r="AA63">
        <f t="shared" si="21"/>
        <v>166.2080628422344</v>
      </c>
      <c r="AB63">
        <f t="shared" si="22"/>
        <v>189.29940296979615</v>
      </c>
      <c r="AC63">
        <f t="shared" si="23"/>
        <v>216.51423843926074</v>
      </c>
      <c r="AD63">
        <f t="shared" si="24"/>
        <v>219.00802846465297</v>
      </c>
      <c r="AE63">
        <f t="shared" si="25"/>
        <v>178.48643999999987</v>
      </c>
      <c r="AF63">
        <f t="shared" si="26"/>
        <v>182.67506725368551</v>
      </c>
      <c r="AG63">
        <f t="shared" si="27"/>
        <v>127.56784461142742</v>
      </c>
      <c r="AH63">
        <f t="shared" si="28"/>
        <v>134.1457214546538</v>
      </c>
      <c r="AI63">
        <f t="shared" si="29"/>
        <v>114.55171180902272</v>
      </c>
    </row>
    <row r="64" spans="1:35" x14ac:dyDescent="0.35">
      <c r="A64">
        <f t="shared" si="20"/>
        <v>60</v>
      </c>
      <c r="B64" s="1">
        <v>42734</v>
      </c>
      <c r="C64" s="2">
        <v>4.3404400612321759E-2</v>
      </c>
      <c r="D64" s="2">
        <v>2.6070639322119504E-2</v>
      </c>
      <c r="E64" s="3">
        <v>4.2497998034950468E-2</v>
      </c>
      <c r="F64" s="3">
        <v>6.7515979651903146E-2</v>
      </c>
      <c r="G64" s="3">
        <v>4.3612859329817955E-2</v>
      </c>
      <c r="H64" s="3">
        <v>3.3559418079550651E-2</v>
      </c>
      <c r="I64" s="3">
        <v>-1.7156296786938752E-3</v>
      </c>
      <c r="J64" s="2">
        <v>3.5540802293603235E-3</v>
      </c>
      <c r="K64" s="2">
        <v>1.4513170615448878E-3</v>
      </c>
      <c r="Z64" s="1">
        <f t="shared" si="19"/>
        <v>42734</v>
      </c>
      <c r="AA64">
        <f t="shared" si="21"/>
        <v>173.4222241868367</v>
      </c>
      <c r="AB64">
        <f t="shared" si="22"/>
        <v>194.23455942851427</v>
      </c>
      <c r="AC64">
        <f t="shared" si="23"/>
        <v>225.71566011899122</v>
      </c>
      <c r="AD64">
        <f t="shared" si="24"/>
        <v>233.79457005807589</v>
      </c>
      <c r="AE64">
        <f t="shared" si="25"/>
        <v>186.27074399999987</v>
      </c>
      <c r="AF64">
        <f t="shared" si="26"/>
        <v>188.80553620836199</v>
      </c>
      <c r="AG64">
        <f t="shared" si="27"/>
        <v>127.34898543116505</v>
      </c>
      <c r="AH64">
        <f t="shared" si="28"/>
        <v>134.62248611112906</v>
      </c>
      <c r="AI64">
        <f t="shared" si="29"/>
        <v>114.71796266280033</v>
      </c>
    </row>
    <row r="65" spans="1:35" x14ac:dyDescent="0.35">
      <c r="A65">
        <f t="shared" si="20"/>
        <v>61</v>
      </c>
      <c r="B65" s="1">
        <v>42766</v>
      </c>
      <c r="C65" s="2">
        <v>-7.7468224327615909E-3</v>
      </c>
      <c r="D65" s="2">
        <v>1.6835987680187126E-2</v>
      </c>
      <c r="E65" s="3">
        <v>-2.0350499172150371E-2</v>
      </c>
      <c r="F65" s="3">
        <v>-4.7106789287533535E-2</v>
      </c>
      <c r="G65" s="3">
        <v>-6.1555345481413282E-3</v>
      </c>
      <c r="H65" s="3">
        <v>8.7858532870801476E-3</v>
      </c>
      <c r="I65" s="3">
        <v>6.1191005737066817E-3</v>
      </c>
      <c r="J65" s="2">
        <v>-2.5707797007034072E-3</v>
      </c>
      <c r="K65" s="2">
        <v>1.5699608195376413E-3</v>
      </c>
      <c r="Z65" s="1">
        <f t="shared" si="19"/>
        <v>42766</v>
      </c>
      <c r="AA65">
        <f t="shared" si="21"/>
        <v>172.07875301016671</v>
      </c>
      <c r="AB65">
        <f t="shared" si="22"/>
        <v>197.50469007811932</v>
      </c>
      <c r="AC65">
        <f t="shared" si="23"/>
        <v>221.12223376459832</v>
      </c>
      <c r="AD65">
        <f t="shared" si="24"/>
        <v>222.7812585097806</v>
      </c>
      <c r="AE65">
        <f t="shared" si="25"/>
        <v>185.12414799999988</v>
      </c>
      <c r="AF65">
        <f t="shared" si="26"/>
        <v>190.46435394927715</v>
      </c>
      <c r="AG65">
        <f t="shared" si="27"/>
        <v>128.12824668097787</v>
      </c>
      <c r="AH65">
        <f t="shared" si="28"/>
        <v>134.27640135657634</v>
      </c>
      <c r="AI65">
        <f t="shared" si="29"/>
        <v>114.8980653694781</v>
      </c>
    </row>
    <row r="66" spans="1:35" x14ac:dyDescent="0.35">
      <c r="A66">
        <f t="shared" si="20"/>
        <v>62</v>
      </c>
      <c r="B66" s="1">
        <v>42794</v>
      </c>
      <c r="C66" s="2">
        <v>2.183132603853255E-2</v>
      </c>
      <c r="D66" s="2">
        <v>3.0127795841428329E-2</v>
      </c>
      <c r="E66" s="3">
        <v>1.5062606859812755E-2</v>
      </c>
      <c r="F66" s="3">
        <v>4.1277057800674921E-2</v>
      </c>
      <c r="G66" s="3">
        <v>3.2498947679154178E-2</v>
      </c>
      <c r="H66" s="3">
        <v>3.6263172197228188E-2</v>
      </c>
      <c r="I66" s="3">
        <v>1.7199706791646285E-3</v>
      </c>
      <c r="J66" s="2">
        <v>9.1475212643457038E-3</v>
      </c>
      <c r="K66" s="2">
        <v>1.344434028539343E-3</v>
      </c>
      <c r="Z66" s="1">
        <f t="shared" si="19"/>
        <v>42794</v>
      </c>
      <c r="AA66">
        <f t="shared" si="21"/>
        <v>175.83546037143577</v>
      </c>
      <c r="AB66">
        <f t="shared" si="22"/>
        <v>203.45507105851749</v>
      </c>
      <c r="AC66">
        <f t="shared" si="23"/>
        <v>224.45291103975808</v>
      </c>
      <c r="AD66">
        <f t="shared" si="24"/>
        <v>231.97701339419592</v>
      </c>
      <c r="AE66">
        <f t="shared" si="25"/>
        <v>191.14048799999986</v>
      </c>
      <c r="AF66">
        <f t="shared" si="26"/>
        <v>197.37119561397361</v>
      </c>
      <c r="AG66">
        <f t="shared" si="27"/>
        <v>128.34862350844193</v>
      </c>
      <c r="AH66">
        <f t="shared" si="28"/>
        <v>135.50469759328544</v>
      </c>
      <c r="AI66">
        <f t="shared" si="29"/>
        <v>115.05253823837417</v>
      </c>
    </row>
    <row r="67" spans="1:35" x14ac:dyDescent="0.35">
      <c r="A67">
        <f t="shared" si="20"/>
        <v>63</v>
      </c>
      <c r="B67" s="1">
        <v>42825</v>
      </c>
      <c r="C67" s="2">
        <v>3.2752639904884751E-2</v>
      </c>
      <c r="D67" s="2">
        <v>1.1489505942955835E-2</v>
      </c>
      <c r="E67" s="3">
        <v>2.0163717457611918E-2</v>
      </c>
      <c r="F67" s="3">
        <v>7.068396730038673E-3</v>
      </c>
      <c r="G67" s="3">
        <v>-1.8049069750203817E-2</v>
      </c>
      <c r="H67" s="3">
        <v>1.1493136493136547E-2</v>
      </c>
      <c r="I67" s="3">
        <v>4.4111819312149247E-3</v>
      </c>
      <c r="J67" s="2">
        <v>2.5260460052156652E-4</v>
      </c>
      <c r="K67" s="2">
        <v>1.5015187365847726E-3</v>
      </c>
      <c r="Z67" s="1">
        <f t="shared" si="19"/>
        <v>42825</v>
      </c>
      <c r="AA67">
        <f t="shared" si="21"/>
        <v>181.59453588749105</v>
      </c>
      <c r="AB67">
        <f t="shared" si="22"/>
        <v>205.79266930656883</v>
      </c>
      <c r="AC67">
        <f t="shared" si="23"/>
        <v>228.97871612050227</v>
      </c>
      <c r="AD67">
        <f t="shared" si="24"/>
        <v>233.61671895711558</v>
      </c>
      <c r="AE67">
        <f t="shared" si="25"/>
        <v>187.69057999999987</v>
      </c>
      <c r="AF67">
        <f t="shared" si="26"/>
        <v>199.63960970497857</v>
      </c>
      <c r="AG67">
        <f t="shared" si="27"/>
        <v>128.91479263735869</v>
      </c>
      <c r="AH67">
        <f t="shared" si="28"/>
        <v>135.5389267032898</v>
      </c>
      <c r="AI67">
        <f t="shared" si="29"/>
        <v>115.22529178023072</v>
      </c>
    </row>
    <row r="68" spans="1:35" x14ac:dyDescent="0.35">
      <c r="A68">
        <f t="shared" si="20"/>
        <v>64</v>
      </c>
      <c r="B68" s="1">
        <v>42853</v>
      </c>
      <c r="C68" s="2">
        <v>9.8275634633788744E-3</v>
      </c>
      <c r="D68" s="2">
        <v>1.40210406421033E-2</v>
      </c>
      <c r="E68" s="3">
        <v>3.6763124522751989E-2</v>
      </c>
      <c r="F68" s="3">
        <v>2.559123910472505E-2</v>
      </c>
      <c r="G68" s="3">
        <v>5.6237025853933531E-3</v>
      </c>
      <c r="H68" s="3">
        <v>1.8605767691962871E-2</v>
      </c>
      <c r="I68" s="3">
        <v>7.5143198240541498E-3</v>
      </c>
      <c r="J68" s="2">
        <v>7.4063794013214945E-3</v>
      </c>
      <c r="K68" s="2">
        <v>1.4850577624294647E-3</v>
      </c>
      <c r="Z68" s="1">
        <f t="shared" si="19"/>
        <v>42853</v>
      </c>
      <c r="AA68">
        <f t="shared" si="21"/>
        <v>183.3791677135282</v>
      </c>
      <c r="AB68">
        <f t="shared" si="22"/>
        <v>208.67809668676315</v>
      </c>
      <c r="AC68">
        <f t="shared" si="23"/>
        <v>237.39668917430018</v>
      </c>
      <c r="AD68">
        <f t="shared" si="24"/>
        <v>239.59526027080847</v>
      </c>
      <c r="AE68">
        <f t="shared" si="25"/>
        <v>188.74609599999985</v>
      </c>
      <c r="AF68">
        <f t="shared" si="26"/>
        <v>203.35405790526355</v>
      </c>
      <c r="AG68">
        <f t="shared" si="27"/>
        <v>129.88349961928742</v>
      </c>
      <c r="AH68">
        <f t="shared" si="28"/>
        <v>136.54277941810227</v>
      </c>
      <c r="AI68">
        <f t="shared" si="29"/>
        <v>115.39640799421716</v>
      </c>
    </row>
    <row r="69" spans="1:35" x14ac:dyDescent="0.35">
      <c r="A69">
        <f t="shared" si="20"/>
        <v>65</v>
      </c>
      <c r="B69" s="1">
        <v>42886</v>
      </c>
      <c r="C69" s="2">
        <v>-2.7431482884989422E-2</v>
      </c>
      <c r="D69" s="2">
        <v>1.860637380696506E-2</v>
      </c>
      <c r="E69" s="3">
        <v>2.8672137205645987E-2</v>
      </c>
      <c r="F69" s="3">
        <v>-1.0047890055859154E-2</v>
      </c>
      <c r="G69" s="3">
        <v>3.4422115941408205E-3</v>
      </c>
      <c r="H69" s="3">
        <v>3.2933952985611636E-2</v>
      </c>
      <c r="I69" s="3">
        <v>1.165341011837695E-2</v>
      </c>
      <c r="J69" s="2">
        <v>6.4185454910161699E-3</v>
      </c>
      <c r="K69" s="2">
        <v>1.4874338460459935E-3</v>
      </c>
      <c r="Z69" s="1">
        <f t="shared" ref="Z69:Z100" si="30">B69</f>
        <v>42886</v>
      </c>
      <c r="AA69">
        <f t="shared" si="21"/>
        <v>178.34880521293096</v>
      </c>
      <c r="AB69">
        <f t="shared" si="22"/>
        <v>212.56083935904306</v>
      </c>
      <c r="AC69">
        <f t="shared" si="23"/>
        <v>244.20335961847181</v>
      </c>
      <c r="AD69">
        <f t="shared" si="24"/>
        <v>237.18783343770244</v>
      </c>
      <c r="AE69">
        <f t="shared" si="25"/>
        <v>189.39579999999987</v>
      </c>
      <c r="AF69">
        <f t="shared" si="26"/>
        <v>210.05131088774885</v>
      </c>
      <c r="AG69">
        <f t="shared" si="27"/>
        <v>131.39708530796102</v>
      </c>
      <c r="AH69">
        <f t="shared" si="28"/>
        <v>137.41918545926714</v>
      </c>
      <c r="AI69">
        <f t="shared" si="29"/>
        <v>115.56805251717989</v>
      </c>
    </row>
    <row r="70" spans="1:35" x14ac:dyDescent="0.35">
      <c r="A70">
        <f t="shared" ref="A70:A101" si="31">A69+1</f>
        <v>66</v>
      </c>
      <c r="B70" s="1">
        <v>42916</v>
      </c>
      <c r="C70" s="2">
        <v>2.2053218218973658E-3</v>
      </c>
      <c r="D70" s="2">
        <v>2.9627371017844073E-3</v>
      </c>
      <c r="E70" s="3">
        <v>-2.5449774185390406E-2</v>
      </c>
      <c r="F70" s="3">
        <v>-4.5108321396399087E-2</v>
      </c>
      <c r="G70" s="3">
        <v>9.7087897408496548E-3</v>
      </c>
      <c r="H70" s="3">
        <v>-1.5274211800781035E-2</v>
      </c>
      <c r="I70" s="3">
        <v>-8.9776042796465561E-3</v>
      </c>
      <c r="J70" s="2">
        <v>-2.163341031765631E-3</v>
      </c>
      <c r="K70" s="2">
        <v>1.433034793467014E-3</v>
      </c>
      <c r="Z70" s="1">
        <f t="shared" si="30"/>
        <v>42916</v>
      </c>
      <c r="AA70">
        <f t="shared" ref="AA70:AA101" si="32">IF($Z70&lt;$B$1,100,AA69*(1+C70))</f>
        <v>178.74212172497636</v>
      </c>
      <c r="AB70">
        <f t="shared" ref="AB70:AB101" si="33">IF($Z70&lt;$B$1,100,AB69*(1+D70))</f>
        <v>213.19060124419852</v>
      </c>
      <c r="AC70">
        <f t="shared" ref="AC70:AC101" si="34">IF($Z70&lt;$B$1,100,AC69*(1+E70))</f>
        <v>237.98843926086801</v>
      </c>
      <c r="AD70">
        <f t="shared" ref="AD70:AD101" si="35">IF($Z70&lt;$B$1,100,AD69*(1+F70))</f>
        <v>226.48868841567898</v>
      </c>
      <c r="AE70">
        <f t="shared" ref="AE70:AE101" si="36">IF($Z70&lt;$B$1,100,AE69*(1+G70))</f>
        <v>191.23460399999988</v>
      </c>
      <c r="AF70">
        <f t="shared" ref="AF70:AF101" si="37">IF($Z70&lt;$B$1,100,AF69*(1+H70))</f>
        <v>206.84294267621769</v>
      </c>
      <c r="AG70">
        <f t="shared" ref="AG70:AG101" si="38">IF($Z70&lt;$B$1,100,AG69*(1+I70))</f>
        <v>130.21745427256718</v>
      </c>
      <c r="AH70">
        <f t="shared" ref="AH70:AH101" si="39">IF($Z70&lt;$B$1,100,AH69*(1+J70))</f>
        <v>137.1219008968113</v>
      </c>
      <c r="AI70">
        <f t="shared" ref="AI70:AI101" si="40">IF($Z70&lt;$B$1,100,AI69*(1+K70))</f>
        <v>115.73366555745024</v>
      </c>
    </row>
    <row r="71" spans="1:35" x14ac:dyDescent="0.35">
      <c r="A71">
        <f t="shared" si="31"/>
        <v>67</v>
      </c>
      <c r="B71" s="1">
        <v>42947</v>
      </c>
      <c r="C71" s="2">
        <v>1.4056380451132888E-4</v>
      </c>
      <c r="D71" s="2">
        <v>1.8843324524451699E-2</v>
      </c>
      <c r="E71" s="3">
        <v>-1.2593080223136321E-2</v>
      </c>
      <c r="F71" s="3">
        <v>-1.523958427630534E-3</v>
      </c>
      <c r="G71" s="3">
        <v>9.6948144384998436E-3</v>
      </c>
      <c r="H71" s="3">
        <v>2.7061843727118617E-3</v>
      </c>
      <c r="I71" s="3">
        <v>2.4791241870838476E-3</v>
      </c>
      <c r="J71" s="2">
        <v>3.6525792843611349E-3</v>
      </c>
      <c r="K71" s="2">
        <v>1.4574620066374333E-3</v>
      </c>
      <c r="Z71" s="1">
        <f t="shared" si="30"/>
        <v>42947</v>
      </c>
      <c r="AA71">
        <f t="shared" si="32"/>
        <v>178.76724639763245</v>
      </c>
      <c r="AB71">
        <f t="shared" si="33"/>
        <v>217.20782092900592</v>
      </c>
      <c r="AC71">
        <f t="shared" si="34"/>
        <v>234.99143175307688</v>
      </c>
      <c r="AD71">
        <f t="shared" si="35"/>
        <v>226.14352907020492</v>
      </c>
      <c r="AE71">
        <f t="shared" si="36"/>
        <v>193.08858799999987</v>
      </c>
      <c r="AF71">
        <f t="shared" si="37"/>
        <v>207.40269781529381</v>
      </c>
      <c r="AG71">
        <f t="shared" si="38"/>
        <v>130.54027951303479</v>
      </c>
      <c r="AH71">
        <f t="shared" si="39"/>
        <v>137.6227495114592</v>
      </c>
      <c r="AI71">
        <f t="shared" si="40"/>
        <v>115.90234297788911</v>
      </c>
    </row>
    <row r="72" spans="1:35" x14ac:dyDescent="0.35">
      <c r="A72">
        <f t="shared" si="31"/>
        <v>68</v>
      </c>
      <c r="B72" s="1">
        <v>42978</v>
      </c>
      <c r="C72" s="2">
        <v>7.4935614280220442E-3</v>
      </c>
      <c r="D72" s="2">
        <v>4.7379961328355424E-3</v>
      </c>
      <c r="E72" s="3">
        <v>1.0783989375714897E-2</v>
      </c>
      <c r="F72" s="3">
        <v>1.5134697235773542E-2</v>
      </c>
      <c r="G72" s="3">
        <v>-1.9392135178908365E-4</v>
      </c>
      <c r="H72" s="3">
        <v>2.2425973337769856E-2</v>
      </c>
      <c r="I72" s="3">
        <v>-5.8904519870117689E-5</v>
      </c>
      <c r="J72" s="2">
        <v>9.5706949205776048E-3</v>
      </c>
      <c r="K72" s="2">
        <v>1.4208168680780453E-3</v>
      </c>
      <c r="Z72" s="1">
        <f t="shared" si="30"/>
        <v>42978</v>
      </c>
      <c r="AA72">
        <f t="shared" si="32"/>
        <v>180.10684973983146</v>
      </c>
      <c r="AB72">
        <f t="shared" si="33"/>
        <v>218.23695074458919</v>
      </c>
      <c r="AC72">
        <f t="shared" si="34"/>
        <v>237.52557685648608</v>
      </c>
      <c r="AD72">
        <f t="shared" si="35"/>
        <v>229.56614291451183</v>
      </c>
      <c r="AE72">
        <f t="shared" si="36"/>
        <v>193.05114399999988</v>
      </c>
      <c r="AF72">
        <f t="shared" si="37"/>
        <v>212.05390518668113</v>
      </c>
      <c r="AG72">
        <f t="shared" si="38"/>
        <v>130.53259010054637</v>
      </c>
      <c r="AH72">
        <f t="shared" si="39"/>
        <v>138.93989486116445</v>
      </c>
      <c r="AI72">
        <f t="shared" si="40"/>
        <v>116.06701898184185</v>
      </c>
    </row>
    <row r="73" spans="1:35" x14ac:dyDescent="0.35">
      <c r="A73">
        <f t="shared" si="31"/>
        <v>69</v>
      </c>
      <c r="B73" s="1">
        <v>43007</v>
      </c>
      <c r="C73" s="2">
        <v>3.5262674441050024E-4</v>
      </c>
      <c r="D73" s="2">
        <v>2.2486455386680593E-2</v>
      </c>
      <c r="E73" s="3">
        <v>3.1232129190011282E-2</v>
      </c>
      <c r="F73" s="3">
        <v>5.7182564418081228E-3</v>
      </c>
      <c r="G73" s="3">
        <v>-1.0327004330001888E-3</v>
      </c>
      <c r="H73" s="3">
        <v>-7.5363559112632261E-3</v>
      </c>
      <c r="I73" s="3">
        <v>-3.1139294917867932E-3</v>
      </c>
      <c r="J73" s="2">
        <v>-4.3309353827544195E-3</v>
      </c>
      <c r="K73" s="2">
        <v>1.4161153355638501E-3</v>
      </c>
      <c r="Z73" s="1">
        <f t="shared" si="30"/>
        <v>43007</v>
      </c>
      <c r="AA73">
        <f t="shared" si="32"/>
        <v>180.17036023190124</v>
      </c>
      <c r="AB73">
        <f t="shared" si="33"/>
        <v>223.14432620123262</v>
      </c>
      <c r="AC73">
        <f t="shared" si="34"/>
        <v>244.94400635879981</v>
      </c>
      <c r="AD73">
        <f t="shared" si="35"/>
        <v>230.87886099005377</v>
      </c>
      <c r="AE73">
        <f t="shared" si="36"/>
        <v>192.85177999999991</v>
      </c>
      <c r="AF73">
        <f t="shared" si="37"/>
        <v>210.45579148482105</v>
      </c>
      <c r="AG73">
        <f t="shared" si="38"/>
        <v>130.12612081859297</v>
      </c>
      <c r="AH73">
        <f t="shared" si="39"/>
        <v>138.33815515443405</v>
      </c>
      <c r="AI73">
        <f t="shared" si="40"/>
        <v>116.23138326737522</v>
      </c>
    </row>
    <row r="74" spans="1:35" x14ac:dyDescent="0.35">
      <c r="A74">
        <f t="shared" si="31"/>
        <v>70</v>
      </c>
      <c r="B74" s="1">
        <v>43039</v>
      </c>
      <c r="C74" s="2">
        <v>4.0153527982993431E-2</v>
      </c>
      <c r="D74" s="2">
        <v>2.8091448376944106E-2</v>
      </c>
      <c r="E74" s="3">
        <v>4.4861137729081735E-2</v>
      </c>
      <c r="F74" s="3">
        <v>2.2462107470151649E-2</v>
      </c>
      <c r="G74" s="3">
        <v>-4.3869545824259948E-3</v>
      </c>
      <c r="H74" s="3">
        <v>2.0795064322300716E-2</v>
      </c>
      <c r="I74" s="3">
        <v>1.0946792654064952E-2</v>
      </c>
      <c r="J74" s="2">
        <v>4.6524663036644487E-3</v>
      </c>
      <c r="K74" s="2">
        <v>1.4680393493686772E-3</v>
      </c>
      <c r="Z74" s="1">
        <f t="shared" si="30"/>
        <v>43039</v>
      </c>
      <c r="AA74">
        <f t="shared" si="32"/>
        <v>187.40483583317891</v>
      </c>
      <c r="AB74">
        <f t="shared" si="33"/>
        <v>229.41277352132252</v>
      </c>
      <c r="AC74">
        <f t="shared" si="34"/>
        <v>255.932473163975</v>
      </c>
      <c r="AD74">
        <f t="shared" si="35"/>
        <v>236.06488677819857</v>
      </c>
      <c r="AE74">
        <f t="shared" si="36"/>
        <v>192.0057479999999</v>
      </c>
      <c r="AF74">
        <f t="shared" si="37"/>
        <v>214.83223320574862</v>
      </c>
      <c r="AG74">
        <f t="shared" si="38"/>
        <v>131.55058448207191</v>
      </c>
      <c r="AH74">
        <f t="shared" si="39"/>
        <v>138.98176875980116</v>
      </c>
      <c r="AI74">
        <f t="shared" si="40"/>
        <v>116.40201551164328</v>
      </c>
    </row>
    <row r="75" spans="1:35" x14ac:dyDescent="0.35">
      <c r="A75">
        <f t="shared" si="31"/>
        <v>71</v>
      </c>
      <c r="B75" s="1">
        <v>43069</v>
      </c>
      <c r="C75" s="2">
        <v>1.6934498640605922E-2</v>
      </c>
      <c r="D75" s="2">
        <v>1.3825852311367459E-2</v>
      </c>
      <c r="E75" s="3">
        <v>3.0118391052626148E-2</v>
      </c>
      <c r="F75" s="3">
        <v>5.2901327594003789E-2</v>
      </c>
      <c r="G75" s="3">
        <v>2.6400813792303746E-2</v>
      </c>
      <c r="H75" s="3">
        <v>2.1602826838307498E-2</v>
      </c>
      <c r="I75" s="3">
        <v>8.6953044037749727E-3</v>
      </c>
      <c r="J75" s="2">
        <v>1.8868400531610874E-3</v>
      </c>
      <c r="K75" s="2">
        <v>1.3323247661940485E-3</v>
      </c>
      <c r="Z75" s="1">
        <f t="shared" si="30"/>
        <v>43069</v>
      </c>
      <c r="AA75">
        <f t="shared" si="32"/>
        <v>190.57844277083885</v>
      </c>
      <c r="AB75">
        <f t="shared" si="33"/>
        <v>232.58460064636952</v>
      </c>
      <c r="AC75">
        <f t="shared" si="34"/>
        <v>263.64074747379334</v>
      </c>
      <c r="AD75">
        <f t="shared" si="35"/>
        <v>248.55303268709346</v>
      </c>
      <c r="AE75">
        <f t="shared" si="36"/>
        <v>197.0748559999999</v>
      </c>
      <c r="AF75">
        <f t="shared" si="37"/>
        <v>219.47321673897932</v>
      </c>
      <c r="AG75">
        <f t="shared" si="38"/>
        <v>132.69445685863803</v>
      </c>
      <c r="AH75">
        <f t="shared" si="39"/>
        <v>139.24400512775631</v>
      </c>
      <c r="AI75">
        <f t="shared" si="40"/>
        <v>116.55710079974435</v>
      </c>
    </row>
    <row r="76" spans="1:35" x14ac:dyDescent="0.35">
      <c r="A76">
        <f t="shared" si="31"/>
        <v>72</v>
      </c>
      <c r="B76" s="1">
        <v>43098</v>
      </c>
      <c r="C76" s="2">
        <v>1.8588389590078913E-2</v>
      </c>
      <c r="D76" s="2">
        <v>1.290918826268439E-2</v>
      </c>
      <c r="E76" s="3">
        <v>-1.4310243914961607E-2</v>
      </c>
      <c r="F76" s="3">
        <v>1.2222043886387368E-3</v>
      </c>
      <c r="G76" s="3">
        <v>1.0223993262742592E-2</v>
      </c>
      <c r="H76" s="3">
        <v>-2.1364373495133537E-2</v>
      </c>
      <c r="I76" s="3">
        <v>-5.2021631692207304E-3</v>
      </c>
      <c r="J76" s="2">
        <v>2.3899958462225701E-3</v>
      </c>
      <c r="K76" s="2">
        <v>1.4330639355084607E-3</v>
      </c>
      <c r="Z76" s="1">
        <f t="shared" si="30"/>
        <v>43098</v>
      </c>
      <c r="AA76">
        <f t="shared" si="32"/>
        <v>194.12098911253375</v>
      </c>
      <c r="AB76">
        <f t="shared" si="33"/>
        <v>235.58707904311478</v>
      </c>
      <c r="AC76">
        <f t="shared" si="34"/>
        <v>259.86798407152054</v>
      </c>
      <c r="AD76">
        <f t="shared" si="35"/>
        <v>248.8568152944531</v>
      </c>
      <c r="AE76">
        <f t="shared" si="36"/>
        <v>199.08974799999987</v>
      </c>
      <c r="AF76">
        <f t="shared" si="37"/>
        <v>214.78430896438937</v>
      </c>
      <c r="AG76">
        <f t="shared" si="38"/>
        <v>132.00415864240827</v>
      </c>
      <c r="AH76">
        <f t="shared" si="39"/>
        <v>139.57679772162305</v>
      </c>
      <c r="AI76">
        <f t="shared" si="40"/>
        <v>116.72413457732789</v>
      </c>
    </row>
    <row r="77" spans="1:35" x14ac:dyDescent="0.35">
      <c r="A77">
        <f t="shared" si="31"/>
        <v>73</v>
      </c>
      <c r="B77" s="1">
        <v>43131</v>
      </c>
      <c r="C77">
        <v>-3.9111337633197518E-3</v>
      </c>
      <c r="D77" s="2">
        <v>4.1754756163027595E-2</v>
      </c>
      <c r="E77" s="3">
        <v>2.1109809073979191E-2</v>
      </c>
      <c r="F77" s="3">
        <v>-3.2457240470342597E-2</v>
      </c>
      <c r="G77" s="3">
        <v>-2.5522419165450949E-2</v>
      </c>
      <c r="H77" s="3">
        <v>-1.8138761375773083E-2</v>
      </c>
      <c r="I77" s="3">
        <v>-2.6766029643555678E-3</v>
      </c>
      <c r="J77" s="2">
        <v>-6.8505180717161052E-3</v>
      </c>
      <c r="K77" s="2">
        <v>1.5585023557638245E-3</v>
      </c>
      <c r="Z77" s="1">
        <f t="shared" si="30"/>
        <v>43131</v>
      </c>
      <c r="AA77">
        <f t="shared" si="32"/>
        <v>193.3617559578467</v>
      </c>
      <c r="AB77">
        <f t="shared" si="33"/>
        <v>245.42396008371995</v>
      </c>
      <c r="AC77">
        <f t="shared" si="34"/>
        <v>265.35374759971018</v>
      </c>
      <c r="AD77">
        <f t="shared" si="35"/>
        <v>240.77960979775742</v>
      </c>
      <c r="AE77">
        <f t="shared" si="36"/>
        <v>194.00849599999987</v>
      </c>
      <c r="AF77">
        <f t="shared" si="37"/>
        <v>210.88838763682398</v>
      </c>
      <c r="AG77">
        <f t="shared" si="38"/>
        <v>131.65083592007875</v>
      </c>
      <c r="AH77">
        <f t="shared" si="39"/>
        <v>138.6206243464388</v>
      </c>
      <c r="AI77">
        <f t="shared" si="40"/>
        <v>116.90604941604114</v>
      </c>
    </row>
    <row r="78" spans="1:35" x14ac:dyDescent="0.35">
      <c r="A78">
        <f t="shared" si="31"/>
        <v>74</v>
      </c>
      <c r="B78" s="1">
        <v>43159</v>
      </c>
      <c r="C78">
        <v>3.3813643055278231E-3</v>
      </c>
      <c r="D78" s="2">
        <v>-3.7240146546381858E-2</v>
      </c>
      <c r="E78" s="3">
        <v>-4.4756178975188243E-3</v>
      </c>
      <c r="F78" s="3">
        <v>-3.1509658187153455E-2</v>
      </c>
      <c r="G78" s="3">
        <v>-6.3654098942141135E-2</v>
      </c>
      <c r="H78" s="3">
        <v>-4.3153129677548363E-2</v>
      </c>
      <c r="I78" s="3">
        <v>2.9320187958368216E-3</v>
      </c>
      <c r="J78" s="2">
        <v>-2.3079648630387473E-3</v>
      </c>
      <c r="K78" s="2">
        <v>1.3378541122033294E-3</v>
      </c>
      <c r="Z78" s="1">
        <f t="shared" si="30"/>
        <v>43159</v>
      </c>
      <c r="AA78">
        <f t="shared" si="32"/>
        <v>194.01558249749675</v>
      </c>
      <c r="AB78">
        <f t="shared" si="33"/>
        <v>236.28433584420884</v>
      </c>
      <c r="AC78">
        <f t="shared" si="34"/>
        <v>264.16612561777924</v>
      </c>
      <c r="AD78">
        <f t="shared" si="35"/>
        <v>233.19272659459389</v>
      </c>
      <c r="AE78">
        <f t="shared" si="36"/>
        <v>181.65905999999987</v>
      </c>
      <c r="AF78">
        <f t="shared" si="37"/>
        <v>201.78789369764303</v>
      </c>
      <c r="AG78">
        <f t="shared" si="38"/>
        <v>132.03683864548404</v>
      </c>
      <c r="AH78">
        <f t="shared" si="39"/>
        <v>138.30069281615474</v>
      </c>
      <c r="AI78">
        <f t="shared" si="40"/>
        <v>117.06245265499383</v>
      </c>
    </row>
    <row r="79" spans="1:35" x14ac:dyDescent="0.35">
      <c r="A79">
        <f t="shared" si="31"/>
        <v>75</v>
      </c>
      <c r="B79" s="1">
        <v>43189</v>
      </c>
      <c r="C79">
        <v>-3.7255783611656823E-2</v>
      </c>
      <c r="D79" s="2">
        <v>-2.1949109835743941E-2</v>
      </c>
      <c r="E79" s="3">
        <v>-4.770189704944805E-3</v>
      </c>
      <c r="F79" s="3">
        <v>1.1225483870382913E-3</v>
      </c>
      <c r="G79" s="3">
        <v>3.3063145873374111E-2</v>
      </c>
      <c r="H79" s="3">
        <v>1.8537518366519734E-2</v>
      </c>
      <c r="I79" s="3">
        <v>8.4230002366694201E-3</v>
      </c>
      <c r="J79" s="2">
        <v>8.3564258499033706E-3</v>
      </c>
      <c r="K79" s="2">
        <v>1.3828717774901911E-3</v>
      </c>
      <c r="Z79" s="1">
        <f t="shared" si="30"/>
        <v>43189</v>
      </c>
      <c r="AA79">
        <f t="shared" si="32"/>
        <v>186.78737993868046</v>
      </c>
      <c r="AB79">
        <f t="shared" si="33"/>
        <v>231.0981050042985</v>
      </c>
      <c r="AC79">
        <f t="shared" si="34"/>
        <v>262.90600308496215</v>
      </c>
      <c r="AD79">
        <f t="shared" si="35"/>
        <v>233.45449671370173</v>
      </c>
      <c r="AE79">
        <f t="shared" si="36"/>
        <v>187.66527999999988</v>
      </c>
      <c r="AF79">
        <f t="shared" si="37"/>
        <v>205.52854048320441</v>
      </c>
      <c r="AG79">
        <f t="shared" si="38"/>
        <v>133.14898496864404</v>
      </c>
      <c r="AH79">
        <f t="shared" si="39"/>
        <v>139.4563923006632</v>
      </c>
      <c r="AI79">
        <f t="shared" si="40"/>
        <v>117.22433501697421</v>
      </c>
    </row>
    <row r="80" spans="1:35" x14ac:dyDescent="0.35">
      <c r="A80">
        <f t="shared" si="31"/>
        <v>76</v>
      </c>
      <c r="B80" s="1">
        <v>43220</v>
      </c>
      <c r="C80">
        <v>3.7784634145535234E-2</v>
      </c>
      <c r="D80" s="2">
        <v>1.879876506188749E-2</v>
      </c>
      <c r="E80" s="3">
        <v>2.5794378353719338E-2</v>
      </c>
      <c r="F80" s="3">
        <v>4.2764459042970993E-2</v>
      </c>
      <c r="G80" s="3">
        <v>2.2384598792062116E-2</v>
      </c>
      <c r="H80" s="3">
        <v>2.7067023995324124E-2</v>
      </c>
      <c r="I80" s="3">
        <v>-3.4669803716892433E-3</v>
      </c>
      <c r="J80" s="2">
        <v>-3.8326572901634659E-3</v>
      </c>
      <c r="K80" s="2">
        <v>1.640618872807531E-3</v>
      </c>
      <c r="Z80" s="1">
        <f t="shared" si="30"/>
        <v>43220</v>
      </c>
      <c r="AA80">
        <f t="shared" si="32"/>
        <v>193.8450727526666</v>
      </c>
      <c r="AB80">
        <f t="shared" si="33"/>
        <v>235.44246398652172</v>
      </c>
      <c r="AC80">
        <f t="shared" si="34"/>
        <v>269.68749999999977</v>
      </c>
      <c r="AD80">
        <f t="shared" si="35"/>
        <v>243.43805197681223</v>
      </c>
      <c r="AE80">
        <f t="shared" si="36"/>
        <v>191.86609199999987</v>
      </c>
      <c r="AF80">
        <f t="shared" si="37"/>
        <v>211.09158642018724</v>
      </c>
      <c r="AG80">
        <f t="shared" si="38"/>
        <v>132.6873600512474</v>
      </c>
      <c r="AH80">
        <f t="shared" si="39"/>
        <v>138.92190374205217</v>
      </c>
      <c r="AI80">
        <f t="shared" si="40"/>
        <v>117.41665547335536</v>
      </c>
    </row>
    <row r="81" spans="1:35" x14ac:dyDescent="0.35">
      <c r="A81">
        <f t="shared" si="31"/>
        <v>77</v>
      </c>
      <c r="B81" s="1">
        <v>43251</v>
      </c>
      <c r="C81">
        <v>1.1933705659405325E-2</v>
      </c>
      <c r="D81" s="2">
        <v>9.3061801329652472E-3</v>
      </c>
      <c r="E81" s="3">
        <v>-1.032248095845234E-3</v>
      </c>
      <c r="F81" s="3">
        <v>2.9756412220651285E-2</v>
      </c>
      <c r="G81" s="3">
        <v>2.8572031372797069E-2</v>
      </c>
      <c r="H81" s="3">
        <v>1.3712645904974119E-2</v>
      </c>
      <c r="I81" s="3">
        <v>6.8598284138767784E-3</v>
      </c>
      <c r="J81" s="2">
        <v>3.6833492628958187E-3</v>
      </c>
      <c r="K81" s="2">
        <v>1.7266834115643448E-3</v>
      </c>
      <c r="Z81" s="1">
        <f t="shared" si="30"/>
        <v>43251</v>
      </c>
      <c r="AA81">
        <f t="shared" si="32"/>
        <v>196.15836279442294</v>
      </c>
      <c r="AB81">
        <f t="shared" si="33"/>
        <v>237.63353396732947</v>
      </c>
      <c r="AC81">
        <f t="shared" si="34"/>
        <v>269.40911559165153</v>
      </c>
      <c r="AD81">
        <f t="shared" si="35"/>
        <v>250.6818950016266</v>
      </c>
      <c r="AE81">
        <f t="shared" si="36"/>
        <v>197.34809599999983</v>
      </c>
      <c r="AF81">
        <f t="shared" si="37"/>
        <v>213.9862105982865</v>
      </c>
      <c r="AG81">
        <f t="shared" si="38"/>
        <v>133.59757257388924</v>
      </c>
      <c r="AH81">
        <f t="shared" si="39"/>
        <v>139.43360163380055</v>
      </c>
      <c r="AI81">
        <f t="shared" si="40"/>
        <v>117.61939686460258</v>
      </c>
    </row>
    <row r="82" spans="1:35" x14ac:dyDescent="0.35">
      <c r="A82">
        <f t="shared" si="31"/>
        <v>78</v>
      </c>
      <c r="B82" s="1">
        <v>43280</v>
      </c>
      <c r="C82">
        <v>3.1876085313962355E-2</v>
      </c>
      <c r="D82" s="2">
        <v>-3.3806307619566045E-4</v>
      </c>
      <c r="E82" s="3">
        <v>1.8295356031861054E-2</v>
      </c>
      <c r="F82" s="3">
        <v>2.2709145496360161E-2</v>
      </c>
      <c r="G82" s="3">
        <v>2.751681982277665E-2</v>
      </c>
      <c r="H82" s="3">
        <v>2.5782215825275623E-2</v>
      </c>
      <c r="I82" s="3">
        <v>4.771998792178378E-3</v>
      </c>
      <c r="J82" s="2">
        <v>1.6605915036622676E-3</v>
      </c>
      <c r="K82" s="2">
        <v>1.5139117331264274E-3</v>
      </c>
      <c r="Z82" s="1">
        <f t="shared" si="30"/>
        <v>43280</v>
      </c>
      <c r="AA82">
        <f t="shared" si="32"/>
        <v>202.41112350190514</v>
      </c>
      <c r="AB82">
        <f t="shared" si="33"/>
        <v>237.55319884382922</v>
      </c>
      <c r="AC82">
        <f t="shared" si="34"/>
        <v>274.33805127962961</v>
      </c>
      <c r="AD82">
        <f t="shared" si="35"/>
        <v>256.37466662852182</v>
      </c>
      <c r="AE82">
        <f t="shared" si="36"/>
        <v>202.77848799999984</v>
      </c>
      <c r="AF82">
        <f t="shared" si="37"/>
        <v>219.50324926356441</v>
      </c>
      <c r="AG82">
        <f t="shared" si="38"/>
        <v>134.23510002884981</v>
      </c>
      <c r="AH82">
        <f t="shared" si="39"/>
        <v>139.66514388799868</v>
      </c>
      <c r="AI82">
        <f t="shared" si="40"/>
        <v>117.79746224955916</v>
      </c>
    </row>
    <row r="83" spans="1:35" x14ac:dyDescent="0.35">
      <c r="A83">
        <f t="shared" si="31"/>
        <v>79</v>
      </c>
      <c r="B83" s="1">
        <v>43312</v>
      </c>
      <c r="C83">
        <v>1.3058057363666054E-2</v>
      </c>
      <c r="D83" s="2">
        <v>3.0482877558400734E-2</v>
      </c>
      <c r="E83" s="3">
        <v>2.4151533634756861E-2</v>
      </c>
      <c r="F83" s="3">
        <v>9.5467001600899604E-3</v>
      </c>
      <c r="G83" s="3">
        <v>1.0225877608871503E-2</v>
      </c>
      <c r="H83" s="3">
        <v>2.5911456817149681E-2</v>
      </c>
      <c r="I83" s="3">
        <v>1.5950994891353876E-3</v>
      </c>
      <c r="J83" s="2">
        <v>1.7840824044412784E-4</v>
      </c>
      <c r="K83" s="2">
        <v>1.9028605779289887E-3</v>
      </c>
      <c r="Z83" s="1">
        <f t="shared" si="30"/>
        <v>43312</v>
      </c>
      <c r="AA83">
        <f t="shared" si="32"/>
        <v>205.0542195636371</v>
      </c>
      <c r="AB83">
        <f t="shared" si="33"/>
        <v>244.7945039177921</v>
      </c>
      <c r="AC83">
        <f t="shared" si="34"/>
        <v>280.96373595240323</v>
      </c>
      <c r="AD83">
        <f t="shared" si="35"/>
        <v>258.82219869946732</v>
      </c>
      <c r="AE83">
        <f t="shared" si="36"/>
        <v>204.85207599999987</v>
      </c>
      <c r="AF83">
        <f t="shared" si="37"/>
        <v>225.19089822808129</v>
      </c>
      <c r="AG83">
        <f t="shared" si="38"/>
        <v>134.44921836832987</v>
      </c>
      <c r="AH83">
        <f t="shared" si="39"/>
        <v>139.6900613005711</v>
      </c>
      <c r="AI83">
        <f t="shared" si="40"/>
        <v>118.02161439665393</v>
      </c>
    </row>
    <row r="84" spans="1:35" x14ac:dyDescent="0.35">
      <c r="A84">
        <f t="shared" si="31"/>
        <v>80</v>
      </c>
      <c r="B84" s="1">
        <v>43343</v>
      </c>
      <c r="C84">
        <v>1.4032746244738492E-2</v>
      </c>
      <c r="D84" s="2">
        <v>1.2322266595101716E-2</v>
      </c>
      <c r="E84" s="3">
        <v>3.6811023346358107E-2</v>
      </c>
      <c r="F84" s="3">
        <v>2.6081000835762813E-2</v>
      </c>
      <c r="G84" s="3">
        <v>1.886149301215756E-2</v>
      </c>
      <c r="H84" s="3">
        <v>-2.1281606732932445E-3</v>
      </c>
      <c r="I84" s="3">
        <v>8.1111510427478439E-3</v>
      </c>
      <c r="J84" s="2">
        <v>2.9265459495180224E-3</v>
      </c>
      <c r="K84" s="2">
        <v>1.6742119765731367E-3</v>
      </c>
      <c r="Z84" s="1">
        <f t="shared" si="30"/>
        <v>43343</v>
      </c>
      <c r="AA84">
        <f t="shared" si="32"/>
        <v>207.93169339318652</v>
      </c>
      <c r="AB84">
        <f t="shared" si="33"/>
        <v>247.81092705608282</v>
      </c>
      <c r="AC84">
        <f t="shared" si="34"/>
        <v>291.30629859602715</v>
      </c>
      <c r="AD84">
        <f t="shared" si="35"/>
        <v>265.5725406800621</v>
      </c>
      <c r="AE84">
        <f t="shared" si="36"/>
        <v>208.71589199999983</v>
      </c>
      <c r="AF84">
        <f t="shared" si="37"/>
        <v>224.71165581448872</v>
      </c>
      <c r="AG84">
        <f t="shared" si="38"/>
        <v>135.53975628609479</v>
      </c>
      <c r="AH84">
        <f t="shared" si="39"/>
        <v>140.09887068365822</v>
      </c>
      <c r="AI84">
        <f t="shared" si="40"/>
        <v>118.2192075969713</v>
      </c>
    </row>
    <row r="85" spans="1:35" x14ac:dyDescent="0.35">
      <c r="A85">
        <f t="shared" si="31"/>
        <v>81</v>
      </c>
      <c r="B85" s="1">
        <v>43371</v>
      </c>
      <c r="C85">
        <v>-1.193635797350312E-2</v>
      </c>
      <c r="D85" s="2">
        <v>6.216987884273717E-3</v>
      </c>
      <c r="E85" s="3">
        <v>4.4180904681450084E-3</v>
      </c>
      <c r="F85" s="3">
        <v>-1.5477264874604435E-2</v>
      </c>
      <c r="G85" s="3">
        <v>-2.2308852265068402E-2</v>
      </c>
      <c r="H85" s="3">
        <v>3.16492591002282E-3</v>
      </c>
      <c r="I85" s="3">
        <v>-4.2489122053214201E-3</v>
      </c>
      <c r="J85" s="2">
        <v>-3.7970288626093529E-3</v>
      </c>
      <c r="K85" s="2">
        <v>1.5781226953361926E-3</v>
      </c>
      <c r="Z85" s="1">
        <f t="shared" si="30"/>
        <v>43371</v>
      </c>
      <c r="AA85">
        <f t="shared" si="32"/>
        <v>205.44974626680875</v>
      </c>
      <c r="AB85">
        <f t="shared" si="33"/>
        <v>249.35156458718112</v>
      </c>
      <c r="AC85">
        <f t="shared" si="34"/>
        <v>292.59331617716487</v>
      </c>
      <c r="AD85">
        <f t="shared" si="35"/>
        <v>261.46220412453511</v>
      </c>
      <c r="AE85">
        <f t="shared" si="36"/>
        <v>204.05967999999984</v>
      </c>
      <c r="AF85">
        <f t="shared" si="37"/>
        <v>225.42285155626013</v>
      </c>
      <c r="AG85">
        <f t="shared" si="38"/>
        <v>134.96385976130452</v>
      </c>
      <c r="AH85">
        <f t="shared" si="39"/>
        <v>139.56691122805339</v>
      </c>
      <c r="AI85">
        <f t="shared" si="40"/>
        <v>118.40577201150474</v>
      </c>
    </row>
    <row r="86" spans="1:35" x14ac:dyDescent="0.35">
      <c r="A86">
        <f t="shared" si="31"/>
        <v>82</v>
      </c>
      <c r="B86" s="1">
        <v>43404</v>
      </c>
      <c r="C86">
        <v>-6.1560510199044849E-2</v>
      </c>
      <c r="D86" s="2">
        <v>-6.9816826295331147E-2</v>
      </c>
      <c r="E86" s="3">
        <v>-5.5499879334567126E-2</v>
      </c>
      <c r="F86" s="3">
        <v>-3.1165378097045116E-2</v>
      </c>
      <c r="G86" s="3">
        <v>-2.6150565364015055E-2</v>
      </c>
      <c r="H86" s="3">
        <v>-1.7690912183230378E-2</v>
      </c>
      <c r="I86" s="3">
        <v>4.843849312699211E-3</v>
      </c>
      <c r="J86" s="2">
        <v>-2.2712095387712461E-3</v>
      </c>
      <c r="K86" s="2">
        <v>1.6808198727100709E-3</v>
      </c>
      <c r="Z86" s="1">
        <f t="shared" si="30"/>
        <v>43404</v>
      </c>
      <c r="AA86">
        <f t="shared" si="32"/>
        <v>192.80215506635969</v>
      </c>
      <c r="AB86">
        <f t="shared" si="33"/>
        <v>231.94262971592886</v>
      </c>
      <c r="AC86">
        <f t="shared" si="34"/>
        <v>276.35442243523136</v>
      </c>
      <c r="AD86">
        <f t="shared" si="35"/>
        <v>253.31363567490718</v>
      </c>
      <c r="AE86">
        <f t="shared" si="36"/>
        <v>198.72340399999985</v>
      </c>
      <c r="AF86">
        <f t="shared" si="37"/>
        <v>221.43491568528495</v>
      </c>
      <c r="AG86">
        <f t="shared" si="38"/>
        <v>135.61760436064856</v>
      </c>
      <c r="AH86">
        <f t="shared" si="39"/>
        <v>139.24992552797539</v>
      </c>
      <c r="AI86">
        <f t="shared" si="40"/>
        <v>118.60479078614526</v>
      </c>
    </row>
    <row r="87" spans="1:35" x14ac:dyDescent="0.35">
      <c r="A87">
        <f t="shared" si="31"/>
        <v>83</v>
      </c>
      <c r="B87" s="1">
        <v>43434</v>
      </c>
      <c r="C87">
        <v>-2.1762141762930787E-2</v>
      </c>
      <c r="D87" s="2">
        <v>1.4027870870217507E-2</v>
      </c>
      <c r="E87" s="3">
        <v>-1.4851219232024593E-2</v>
      </c>
      <c r="F87" s="3">
        <v>-2.7059127896311708E-3</v>
      </c>
      <c r="G87" s="3">
        <v>3.3371187623175036E-2</v>
      </c>
      <c r="H87" s="3">
        <v>3.5620810356121524E-2</v>
      </c>
      <c r="I87" s="3">
        <v>2.4284745191889279E-3</v>
      </c>
      <c r="J87" s="2">
        <v>4.4911519013637324E-3</v>
      </c>
      <c r="K87" s="2">
        <v>1.5455455518957883E-3</v>
      </c>
      <c r="Z87" s="1">
        <f t="shared" si="30"/>
        <v>43434</v>
      </c>
      <c r="AA87">
        <f t="shared" si="32"/>
        <v>188.606367235607</v>
      </c>
      <c r="AB87">
        <f t="shared" si="33"/>
        <v>235.19629097488257</v>
      </c>
      <c r="AC87">
        <f t="shared" si="34"/>
        <v>272.25022232190622</v>
      </c>
      <c r="AD87">
        <f t="shared" si="35"/>
        <v>252.62819106834647</v>
      </c>
      <c r="AE87">
        <f t="shared" si="36"/>
        <v>205.35503999999986</v>
      </c>
      <c r="AF87">
        <f t="shared" si="37"/>
        <v>229.32260682313424</v>
      </c>
      <c r="AG87">
        <f t="shared" si="38"/>
        <v>135.94694825719185</v>
      </c>
      <c r="AH87">
        <f t="shared" si="39"/>
        <v>139.87531809577513</v>
      </c>
      <c r="AI87">
        <f t="shared" si="40"/>
        <v>118.78809989297831</v>
      </c>
    </row>
    <row r="88" spans="1:35" x14ac:dyDescent="0.35">
      <c r="A88">
        <f t="shared" si="31"/>
        <v>84</v>
      </c>
      <c r="B88" s="1">
        <v>43465</v>
      </c>
      <c r="C88">
        <v>-2.2661587024543905E-3</v>
      </c>
      <c r="D88" s="2">
        <v>-7.651269292352314E-2</v>
      </c>
      <c r="E88" s="3">
        <v>-3.6421182642381811E-2</v>
      </c>
      <c r="F88" s="3">
        <v>1.7309423642056787E-2</v>
      </c>
      <c r="G88" s="3">
        <v>-6.7060910703725662E-2</v>
      </c>
      <c r="H88" s="3">
        <v>-5.5243630932643728E-2</v>
      </c>
      <c r="I88" s="3">
        <v>1.5033547456837493E-2</v>
      </c>
      <c r="J88" s="2">
        <v>1.4326825361406836E-2</v>
      </c>
      <c r="K88" s="2">
        <v>1.5223426054964406E-3</v>
      </c>
      <c r="Z88" s="1">
        <f t="shared" si="30"/>
        <v>43465</v>
      </c>
      <c r="AA88">
        <f t="shared" si="32"/>
        <v>188.1789552751577</v>
      </c>
      <c r="AB88">
        <f t="shared" si="33"/>
        <v>217.2007893867698</v>
      </c>
      <c r="AC88">
        <f t="shared" si="34"/>
        <v>262.334547250291</v>
      </c>
      <c r="AD88">
        <f t="shared" si="35"/>
        <v>257.00103945147492</v>
      </c>
      <c r="AE88">
        <f t="shared" si="36"/>
        <v>191.58374399999985</v>
      </c>
      <c r="AF88">
        <f t="shared" si="37"/>
        <v>216.65399336728524</v>
      </c>
      <c r="AG88">
        <f t="shared" si="38"/>
        <v>137.99071315542858</v>
      </c>
      <c r="AH88">
        <f t="shared" si="39"/>
        <v>141.87928735050454</v>
      </c>
      <c r="AI88">
        <f t="shared" si="40"/>
        <v>118.96893607847136</v>
      </c>
    </row>
    <row r="89" spans="1:35" x14ac:dyDescent="0.35">
      <c r="A89">
        <f t="shared" si="31"/>
        <v>85</v>
      </c>
      <c r="B89" s="1">
        <v>43496</v>
      </c>
      <c r="C89">
        <v>3.8677661283873288E-2</v>
      </c>
      <c r="D89" s="2">
        <v>7.0954962743271954E-2</v>
      </c>
      <c r="E89" s="3">
        <v>4.2030435518402021E-2</v>
      </c>
      <c r="F89" s="3">
        <v>5.9585255109171786E-2</v>
      </c>
      <c r="G89" s="3">
        <v>0.10157834685598388</v>
      </c>
      <c r="H89" s="3">
        <v>6.8911716908956144E-2</v>
      </c>
      <c r="I89" s="3">
        <v>6.399790678379258E-3</v>
      </c>
      <c r="J89" s="2">
        <v>9.6512191791977564E-3</v>
      </c>
      <c r="K89" s="2">
        <v>1.803044980856594E-3</v>
      </c>
      <c r="Z89" s="1">
        <f t="shared" si="30"/>
        <v>43496</v>
      </c>
      <c r="AA89">
        <f t="shared" si="32"/>
        <v>195.45727716804339</v>
      </c>
      <c r="AB89">
        <f t="shared" si="33"/>
        <v>232.6122633055173</v>
      </c>
      <c r="AC89">
        <f t="shared" si="34"/>
        <v>273.36058252274353</v>
      </c>
      <c r="AD89">
        <f t="shared" si="35"/>
        <v>272.31451195051341</v>
      </c>
      <c r="AE89">
        <f t="shared" si="36"/>
        <v>211.04450399999985</v>
      </c>
      <c r="AF89">
        <f t="shared" si="37"/>
        <v>231.58399202540647</v>
      </c>
      <c r="AG89">
        <f t="shared" si="38"/>
        <v>138.8738248351836</v>
      </c>
      <c r="AH89">
        <f t="shared" si="39"/>
        <v>143.24859544971264</v>
      </c>
      <c r="AI89">
        <f t="shared" si="40"/>
        <v>119.18344242154549</v>
      </c>
    </row>
    <row r="90" spans="1:35" x14ac:dyDescent="0.35">
      <c r="A90">
        <f t="shared" si="31"/>
        <v>86</v>
      </c>
      <c r="B90" s="1">
        <v>43524</v>
      </c>
      <c r="C90">
        <v>6.0084143309692362E-2</v>
      </c>
      <c r="D90" s="2">
        <v>3.1444862891693237E-2</v>
      </c>
      <c r="E90" s="3">
        <v>5.2371202476322321E-2</v>
      </c>
      <c r="F90" s="3">
        <v>1.7973828552329207E-2</v>
      </c>
      <c r="G90" s="3">
        <v>2.5894064504992098E-3</v>
      </c>
      <c r="H90" s="3">
        <v>3.7641202796739659E-2</v>
      </c>
      <c r="I90" s="3">
        <v>9.3746649972472618E-3</v>
      </c>
      <c r="J90" s="2">
        <v>6.8494703497568032E-4</v>
      </c>
      <c r="K90" s="2">
        <v>1.7300902078196678E-3</v>
      </c>
      <c r="Z90" s="1">
        <f t="shared" si="30"/>
        <v>43524</v>
      </c>
      <c r="AA90">
        <f t="shared" si="32"/>
        <v>207.20116022033037</v>
      </c>
      <c r="AB90">
        <f t="shared" si="33"/>
        <v>239.92672403208573</v>
      </c>
      <c r="AC90">
        <f t="shared" si="34"/>
        <v>287.67680493908756</v>
      </c>
      <c r="AD90">
        <f t="shared" si="35"/>
        <v>277.20904630062313</v>
      </c>
      <c r="AE90">
        <f t="shared" si="36"/>
        <v>211.59098399999985</v>
      </c>
      <c r="AF90">
        <f t="shared" si="37"/>
        <v>240.30109203371333</v>
      </c>
      <c r="AG90">
        <f t="shared" si="38"/>
        <v>140.17572041989985</v>
      </c>
      <c r="AH90">
        <f t="shared" si="39"/>
        <v>143.34671315043036</v>
      </c>
      <c r="AI90">
        <f t="shared" si="40"/>
        <v>119.38964052821325</v>
      </c>
    </row>
    <row r="91" spans="1:35" x14ac:dyDescent="0.35">
      <c r="A91">
        <f t="shared" si="31"/>
        <v>87</v>
      </c>
      <c r="B91" s="1">
        <v>43553</v>
      </c>
      <c r="C91">
        <v>7.3312879056808278E-3</v>
      </c>
      <c r="D91" s="2">
        <v>1.6384773081092652E-2</v>
      </c>
      <c r="E91" s="3">
        <v>1.457795245751603E-2</v>
      </c>
      <c r="F91" s="3">
        <v>6.0443600134927999E-2</v>
      </c>
      <c r="G91" s="3">
        <v>3.5268459264786056E-2</v>
      </c>
      <c r="H91" s="3">
        <v>3.1103748298161982E-2</v>
      </c>
      <c r="I91" s="3">
        <v>1.8215951965534272E-2</v>
      </c>
      <c r="J91" s="2">
        <v>1.7401464911670494E-2</v>
      </c>
      <c r="K91" s="2">
        <v>1.6538733566830999E-3</v>
      </c>
      <c r="Z91" s="1">
        <f t="shared" si="30"/>
        <v>43553</v>
      </c>
      <c r="AA91">
        <f t="shared" si="32"/>
        <v>208.72021158029671</v>
      </c>
      <c r="AB91">
        <f t="shared" si="33"/>
        <v>243.8578689614414</v>
      </c>
      <c r="AC91">
        <f t="shared" si="34"/>
        <v>291.87054372461967</v>
      </c>
      <c r="AD91">
        <f t="shared" si="35"/>
        <v>293.96455904900273</v>
      </c>
      <c r="AE91">
        <f t="shared" si="36"/>
        <v>219.05347199999983</v>
      </c>
      <c r="AF91">
        <f t="shared" si="37"/>
        <v>247.7753567161034</v>
      </c>
      <c r="AG91">
        <f t="shared" si="38"/>
        <v>142.72915460980289</v>
      </c>
      <c r="AH91">
        <f t="shared" si="39"/>
        <v>145.84115594952087</v>
      </c>
      <c r="AI91">
        <f t="shared" si="40"/>
        <v>119.58709587374683</v>
      </c>
    </row>
    <row r="92" spans="1:35" x14ac:dyDescent="0.35">
      <c r="A92">
        <f t="shared" si="31"/>
        <v>88</v>
      </c>
      <c r="B92" s="1">
        <v>43585</v>
      </c>
      <c r="C92">
        <v>2.4616120113273965E-2</v>
      </c>
      <c r="D92" s="2">
        <v>3.7121120331889745E-2</v>
      </c>
      <c r="E92" s="3">
        <v>4.4023468208969296E-2</v>
      </c>
      <c r="F92" s="3">
        <v>-2.2928512199565931E-2</v>
      </c>
      <c r="G92" s="3">
        <v>-5.5115127323797086E-3</v>
      </c>
      <c r="H92" s="3">
        <v>1.1891345442166523E-2</v>
      </c>
      <c r="I92" s="3">
        <v>2.8433806436847231E-3</v>
      </c>
      <c r="J92" s="2">
        <v>-1.4779679320398031E-5</v>
      </c>
      <c r="K92" s="2">
        <v>1.6368230051715393E-3</v>
      </c>
      <c r="Z92" s="1">
        <f t="shared" si="30"/>
        <v>43585</v>
      </c>
      <c r="AA92">
        <f t="shared" si="32"/>
        <v>213.85809337862526</v>
      </c>
      <c r="AB92">
        <f t="shared" si="33"/>
        <v>252.91014625903728</v>
      </c>
      <c r="AC92">
        <f t="shared" si="34"/>
        <v>304.71969732741502</v>
      </c>
      <c r="AD92">
        <f t="shared" si="35"/>
        <v>287.22438907060763</v>
      </c>
      <c r="AE92">
        <f t="shared" si="36"/>
        <v>217.84615599999984</v>
      </c>
      <c r="AF92">
        <f t="shared" si="37"/>
        <v>250.72173907487061</v>
      </c>
      <c r="AG92">
        <f t="shared" si="38"/>
        <v>143.1349879253099</v>
      </c>
      <c r="AH92">
        <f t="shared" si="39"/>
        <v>145.83900046400422</v>
      </c>
      <c r="AI92">
        <f t="shared" si="40"/>
        <v>119.78283878339464</v>
      </c>
    </row>
    <row r="93" spans="1:35" x14ac:dyDescent="0.35">
      <c r="A93">
        <f t="shared" si="31"/>
        <v>89</v>
      </c>
      <c r="B93" s="1">
        <v>43616</v>
      </c>
      <c r="C93">
        <v>1.7456927996498228E-2</v>
      </c>
      <c r="D93" s="2">
        <v>-6.0300102783579224E-2</v>
      </c>
      <c r="E93" s="3">
        <v>-4.5428091039743101E-2</v>
      </c>
      <c r="F93" s="3">
        <v>2.3037529756755548E-2</v>
      </c>
      <c r="G93" s="3">
        <v>1.9232287945443183E-3</v>
      </c>
      <c r="H93" s="3">
        <v>-9.4094379823228547E-3</v>
      </c>
      <c r="I93" s="3">
        <v>1.7009589977444284E-2</v>
      </c>
      <c r="J93" s="2">
        <v>1.3780776673774087E-2</v>
      </c>
      <c r="K93" s="2">
        <v>1.5095724072948791E-3</v>
      </c>
      <c r="Z93" s="1">
        <f t="shared" si="30"/>
        <v>43616</v>
      </c>
      <c r="AA93">
        <f t="shared" si="32"/>
        <v>217.59139871620431</v>
      </c>
      <c r="AB93">
        <f t="shared" si="33"/>
        <v>237.65963844460728</v>
      </c>
      <c r="AC93">
        <f t="shared" si="34"/>
        <v>290.87686317562225</v>
      </c>
      <c r="AD93">
        <f t="shared" si="35"/>
        <v>293.8413294806877</v>
      </c>
      <c r="AE93">
        <f t="shared" si="36"/>
        <v>218.26512399999984</v>
      </c>
      <c r="AF93">
        <f t="shared" si="37"/>
        <v>248.36258842022548</v>
      </c>
      <c r="AG93">
        <f t="shared" si="38"/>
        <v>145.56965538134585</v>
      </c>
      <c r="AH93">
        <f t="shared" si="39"/>
        <v>147.84877515972508</v>
      </c>
      <c r="AI93">
        <f t="shared" si="40"/>
        <v>119.9636596516895</v>
      </c>
    </row>
    <row r="94" spans="1:35" x14ac:dyDescent="0.35">
      <c r="A94">
        <f t="shared" si="31"/>
        <v>90</v>
      </c>
      <c r="B94" s="1">
        <v>43644</v>
      </c>
      <c r="C94">
        <v>3.6438345810414718E-2</v>
      </c>
      <c r="D94" s="2">
        <v>5.7304236046844315E-2</v>
      </c>
      <c r="E94" s="3">
        <v>5.2420932754613014E-2</v>
      </c>
      <c r="F94" s="3">
        <v>4.1635813070025174E-2</v>
      </c>
      <c r="G94" s="3">
        <v>4.6411995715816001E-3</v>
      </c>
      <c r="H94" s="3">
        <v>2.2954615622105434E-2</v>
      </c>
      <c r="I94" s="3">
        <v>1.0404822056304441E-2</v>
      </c>
      <c r="J94" s="2">
        <v>1.290434823176323E-2</v>
      </c>
      <c r="K94" s="2">
        <v>1.3243746694702185E-3</v>
      </c>
      <c r="Z94" s="1">
        <f t="shared" si="30"/>
        <v>43644</v>
      </c>
      <c r="AA94">
        <f t="shared" si="32"/>
        <v>225.52006934799718</v>
      </c>
      <c r="AB94">
        <f t="shared" si="33"/>
        <v>251.27854246484475</v>
      </c>
      <c r="AC94">
        <f t="shared" si="34"/>
        <v>306.12489966002431</v>
      </c>
      <c r="AD94">
        <f t="shared" si="35"/>
        <v>306.0756521471933</v>
      </c>
      <c r="AE94">
        <f t="shared" si="36"/>
        <v>219.27813599999985</v>
      </c>
      <c r="AF94">
        <f t="shared" si="37"/>
        <v>254.06365617232294</v>
      </c>
      <c r="AG94">
        <f t="shared" si="38"/>
        <v>147.08428174238631</v>
      </c>
      <c r="AH94">
        <f t="shared" si="39"/>
        <v>149.75666724002585</v>
      </c>
      <c r="AI94">
        <f t="shared" si="40"/>
        <v>120.12253648378915</v>
      </c>
    </row>
    <row r="95" spans="1:35" x14ac:dyDescent="0.35">
      <c r="A95">
        <f t="shared" si="31"/>
        <v>91</v>
      </c>
      <c r="B95" s="1">
        <v>43677</v>
      </c>
      <c r="C95">
        <v>2.9695845443936664E-2</v>
      </c>
      <c r="D95" s="2">
        <v>8.7181160909965971E-3</v>
      </c>
      <c r="E95" s="3">
        <v>2.1182853157962311E-2</v>
      </c>
      <c r="F95" s="3">
        <v>2.6111240545294345E-2</v>
      </c>
      <c r="G95" s="3">
        <v>1.3314688154773435E-2</v>
      </c>
      <c r="H95" s="3">
        <v>1.9567305999468321E-3</v>
      </c>
      <c r="I95" s="3">
        <v>9.4920696658342685E-3</v>
      </c>
      <c r="J95" s="2">
        <v>6.8934083701559512E-3</v>
      </c>
      <c r="K95" s="2">
        <v>1.1982295082089145E-3</v>
      </c>
      <c r="Z95" s="1">
        <f t="shared" si="30"/>
        <v>43677</v>
      </c>
      <c r="AA95">
        <f t="shared" si="32"/>
        <v>232.21707847186119</v>
      </c>
      <c r="AB95">
        <f t="shared" si="33"/>
        <v>253.46921796922967</v>
      </c>
      <c r="AC95">
        <f t="shared" si="34"/>
        <v>312.60949845751855</v>
      </c>
      <c r="AD95">
        <f t="shared" si="35"/>
        <v>314.06766712546647</v>
      </c>
      <c r="AE95">
        <f t="shared" si="36"/>
        <v>222.19775599999986</v>
      </c>
      <c r="AF95">
        <f t="shared" si="37"/>
        <v>254.5607903026897</v>
      </c>
      <c r="AG95">
        <f t="shared" si="38"/>
        <v>148.48041599143423</v>
      </c>
      <c r="AH95">
        <f t="shared" si="39"/>
        <v>150.7890011034649</v>
      </c>
      <c r="AI95">
        <f t="shared" si="40"/>
        <v>120.26647085160492</v>
      </c>
    </row>
    <row r="96" spans="1:35" x14ac:dyDescent="0.35">
      <c r="A96">
        <f t="shared" si="31"/>
        <v>92</v>
      </c>
      <c r="B96" s="1">
        <v>43707</v>
      </c>
      <c r="C96">
        <v>-2.2718101684325087E-2</v>
      </c>
      <c r="D96" s="2">
        <v>-2.1061646293998426E-2</v>
      </c>
      <c r="E96" s="3">
        <v>-6.0950721110686334E-4</v>
      </c>
      <c r="F96" s="3">
        <v>1.3232157032887715E-2</v>
      </c>
      <c r="G96" s="3">
        <v>2.7741468280174653E-2</v>
      </c>
      <c r="H96" s="3">
        <v>1.3991666248305501E-2</v>
      </c>
      <c r="I96" s="3">
        <v>1.5118120016680781E-2</v>
      </c>
      <c r="J96" s="2">
        <v>2.2032917865437263E-2</v>
      </c>
      <c r="K96" s="2">
        <v>8.3589490961610835E-4</v>
      </c>
      <c r="Z96" s="1">
        <f t="shared" si="30"/>
        <v>43707</v>
      </c>
      <c r="AA96">
        <f t="shared" si="32"/>
        <v>226.94154727030053</v>
      </c>
      <c r="AB96">
        <f t="shared" si="33"/>
        <v>248.13073895394538</v>
      </c>
      <c r="AC96">
        <f t="shared" si="34"/>
        <v>312.4189607139482</v>
      </c>
      <c r="AD96">
        <f t="shared" si="35"/>
        <v>318.22345981582333</v>
      </c>
      <c r="AE96">
        <f t="shared" si="36"/>
        <v>228.36184799999984</v>
      </c>
      <c r="AF96">
        <f t="shared" si="37"/>
        <v>258.12251992050983</v>
      </c>
      <c r="AG96">
        <f t="shared" si="38"/>
        <v>150.72516074051941</v>
      </c>
      <c r="AH96">
        <f t="shared" si="39"/>
        <v>154.11132277978888</v>
      </c>
      <c r="AI96">
        <f t="shared" si="40"/>
        <v>120.36700098238727</v>
      </c>
    </row>
    <row r="97" spans="1:35" x14ac:dyDescent="0.35">
      <c r="A97">
        <f t="shared" si="31"/>
        <v>93</v>
      </c>
      <c r="B97" s="1">
        <v>43738</v>
      </c>
      <c r="C97">
        <v>1.9079051297919536E-2</v>
      </c>
      <c r="D97" s="2">
        <v>2.2036513244522826E-2</v>
      </c>
      <c r="E97" s="3">
        <v>2.0106293815860932E-2</v>
      </c>
      <c r="F97" s="3">
        <v>-2.7313231365090562E-2</v>
      </c>
      <c r="G97" s="3">
        <v>2.8951403476118243E-2</v>
      </c>
      <c r="H97" s="3">
        <v>1.9531926902567998E-2</v>
      </c>
      <c r="I97" s="3">
        <v>-4.8745324761217956E-3</v>
      </c>
      <c r="J97" s="2">
        <v>-5.554524695116636E-3</v>
      </c>
      <c r="K97" s="2">
        <v>8.4551663645959785E-4</v>
      </c>
      <c r="Z97" s="1">
        <f t="shared" si="30"/>
        <v>43738</v>
      </c>
      <c r="AA97">
        <f t="shared" si="32"/>
        <v>231.27137669229984</v>
      </c>
      <c r="AB97">
        <f t="shared" si="33"/>
        <v>253.59867526927724</v>
      </c>
      <c r="AC97">
        <f t="shared" si="34"/>
        <v>318.70054813170873</v>
      </c>
      <c r="AD97">
        <f t="shared" si="35"/>
        <v>309.53174883207413</v>
      </c>
      <c r="AE97">
        <f t="shared" si="36"/>
        <v>234.97324399999982</v>
      </c>
      <c r="AF97">
        <f t="shared" si="37"/>
        <v>263.16415011150389</v>
      </c>
      <c r="AG97">
        <f t="shared" si="38"/>
        <v>149.99044604952107</v>
      </c>
      <c r="AH97">
        <f t="shared" si="39"/>
        <v>153.25530763161146</v>
      </c>
      <c r="AI97">
        <f t="shared" si="40"/>
        <v>120.46877328419862</v>
      </c>
    </row>
    <row r="98" spans="1:35" x14ac:dyDescent="0.35">
      <c r="A98">
        <f t="shared" si="31"/>
        <v>94</v>
      </c>
      <c r="B98" s="1">
        <v>43769</v>
      </c>
      <c r="C98">
        <v>-3.7904963398542879E-3</v>
      </c>
      <c r="D98" s="2">
        <v>1.9683986335738091E-2</v>
      </c>
      <c r="E98" s="3">
        <v>6.066521627889454E-3</v>
      </c>
      <c r="F98" s="3">
        <v>1.3708475302681933E-2</v>
      </c>
      <c r="G98" s="3">
        <v>1.7382540796857748E-2</v>
      </c>
      <c r="H98" s="3">
        <v>-2.6296364642922621E-3</v>
      </c>
      <c r="I98" s="3">
        <v>-4.9000481341627822E-3</v>
      </c>
      <c r="J98" s="2">
        <v>-2.809183667728532E-3</v>
      </c>
      <c r="K98" s="2">
        <v>8.0738554337589363E-4</v>
      </c>
      <c r="Z98" s="1">
        <f t="shared" si="30"/>
        <v>43769</v>
      </c>
      <c r="AA98">
        <f t="shared" si="32"/>
        <v>230.39474338543462</v>
      </c>
      <c r="AB98">
        <f t="shared" si="33"/>
        <v>258.59050812803895</v>
      </c>
      <c r="AC98">
        <f t="shared" si="34"/>
        <v>320.63395189976995</v>
      </c>
      <c r="AD98">
        <f t="shared" si="35"/>
        <v>313.77495716633456</v>
      </c>
      <c r="AE98">
        <f t="shared" si="36"/>
        <v>239.05767599999984</v>
      </c>
      <c r="AF98">
        <f t="shared" si="37"/>
        <v>262.47212406627619</v>
      </c>
      <c r="AG98">
        <f t="shared" si="38"/>
        <v>149.25548564421388</v>
      </c>
      <c r="AH98">
        <f t="shared" si="39"/>
        <v>152.82478532442002</v>
      </c>
      <c r="AI98">
        <f t="shared" si="40"/>
        <v>120.56603803017651</v>
      </c>
    </row>
    <row r="99" spans="1:35" x14ac:dyDescent="0.35">
      <c r="A99">
        <f t="shared" si="31"/>
        <v>95</v>
      </c>
      <c r="B99" s="1">
        <v>43798</v>
      </c>
      <c r="C99">
        <v>3.1812569620238929E-2</v>
      </c>
      <c r="D99" s="2">
        <v>2.8642693869453506E-2</v>
      </c>
      <c r="E99" s="3">
        <v>4.3940863448726386E-2</v>
      </c>
      <c r="F99" s="3">
        <v>2.2645763041254208E-2</v>
      </c>
      <c r="G99" s="3">
        <v>-9.673063164890805E-3</v>
      </c>
      <c r="H99" s="3">
        <v>-3.9901548589081903E-3</v>
      </c>
      <c r="I99" s="3">
        <v>8.2196150525313261E-3</v>
      </c>
      <c r="J99" s="2">
        <v>-2.0075110060497892E-3</v>
      </c>
      <c r="K99" s="2">
        <v>8.2211321485803346E-4</v>
      </c>
      <c r="Z99" s="1">
        <f t="shared" si="30"/>
        <v>43798</v>
      </c>
      <c r="AA99">
        <f t="shared" si="32"/>
        <v>237.72419219952084</v>
      </c>
      <c r="AB99">
        <f t="shared" si="33"/>
        <v>265.99723688989678</v>
      </c>
      <c r="AC99">
        <f t="shared" si="34"/>
        <v>334.72288459722324</v>
      </c>
      <c r="AD99">
        <f t="shared" si="35"/>
        <v>320.88063049460305</v>
      </c>
      <c r="AE99">
        <f t="shared" si="36"/>
        <v>236.74525599999984</v>
      </c>
      <c r="AF99">
        <f t="shared" si="37"/>
        <v>261.42481964510517</v>
      </c>
      <c r="AG99">
        <f t="shared" si="38"/>
        <v>150.48230828068793</v>
      </c>
      <c r="AH99">
        <f t="shared" si="39"/>
        <v>152.51798788588405</v>
      </c>
      <c r="AI99">
        <f t="shared" si="40"/>
        <v>120.6651569633042</v>
      </c>
    </row>
    <row r="100" spans="1:35" x14ac:dyDescent="0.35">
      <c r="A100">
        <f t="shared" si="31"/>
        <v>96</v>
      </c>
      <c r="B100" s="1">
        <v>43830</v>
      </c>
      <c r="C100">
        <v>-2.0247997048930433E-2</v>
      </c>
      <c r="D100" s="2">
        <v>2.7027958918116379E-2</v>
      </c>
      <c r="E100" s="3">
        <v>-3.3051731476121393E-3</v>
      </c>
      <c r="F100" s="3">
        <v>-4.236806950812233E-2</v>
      </c>
      <c r="G100" s="3">
        <v>-3.4026109481999356E-3</v>
      </c>
      <c r="H100" s="3">
        <v>2.9599972624302806E-2</v>
      </c>
      <c r="I100" s="3">
        <v>-1.6431128752242063E-2</v>
      </c>
      <c r="J100" s="2">
        <v>-2.833128095642401E-3</v>
      </c>
      <c r="K100" s="2">
        <v>7.2195281140219336E-4</v>
      </c>
      <c r="Z100" s="1">
        <f t="shared" si="30"/>
        <v>43830</v>
      </c>
      <c r="AA100">
        <f t="shared" si="32"/>
        <v>232.91075345740558</v>
      </c>
      <c r="AB100">
        <f t="shared" si="33"/>
        <v>273.18659928088937</v>
      </c>
      <c r="AC100">
        <f t="shared" si="34"/>
        <v>333.61656750716122</v>
      </c>
      <c r="AD100">
        <f t="shared" si="35"/>
        <v>307.28553763799761</v>
      </c>
      <c r="AE100">
        <f t="shared" si="36"/>
        <v>235.93970399999984</v>
      </c>
      <c r="AF100">
        <f t="shared" si="37"/>
        <v>269.16298714991359</v>
      </c>
      <c r="AG100">
        <f t="shared" si="38"/>
        <v>148.00971409839337</v>
      </c>
      <c r="AH100">
        <f t="shared" si="39"/>
        <v>152.08588488931372</v>
      </c>
      <c r="AI100">
        <f t="shared" si="40"/>
        <v>120.75227151261214</v>
      </c>
    </row>
    <row r="101" spans="1:35" x14ac:dyDescent="0.35">
      <c r="A101">
        <f t="shared" si="31"/>
        <v>97</v>
      </c>
      <c r="B101" s="1">
        <v>43861</v>
      </c>
      <c r="C101">
        <v>4.8875188131509706E-2</v>
      </c>
      <c r="D101" s="2">
        <v>-7.7956595645876092E-3</v>
      </c>
      <c r="E101" s="3">
        <v>3.8316731533480697E-2</v>
      </c>
      <c r="F101" s="3">
        <v>6.2982845696786471E-2</v>
      </c>
      <c r="G101" s="3">
        <v>1.4664882346381303E-2</v>
      </c>
      <c r="H101" s="3">
        <v>4.1680119269191573E-2</v>
      </c>
      <c r="I101" s="3">
        <v>2.3279609804724544E-2</v>
      </c>
      <c r="J101" s="2">
        <v>1.8127033799335557E-2</v>
      </c>
      <c r="K101" s="2">
        <v>8.154965260998015E-4</v>
      </c>
      <c r="Z101" s="1">
        <f t="shared" ref="Z101:Z132" si="41">B101</f>
        <v>43861</v>
      </c>
      <c r="AA101">
        <f t="shared" si="32"/>
        <v>244.29431035048796</v>
      </c>
      <c r="AB101">
        <f t="shared" si="33"/>
        <v>271.05692955528815</v>
      </c>
      <c r="AC101">
        <f t="shared" si="34"/>
        <v>346.39966395945447</v>
      </c>
      <c r="AD101">
        <f t="shared" si="35"/>
        <v>326.63925523990571</v>
      </c>
      <c r="AE101">
        <f t="shared" si="36"/>
        <v>239.39973199999986</v>
      </c>
      <c r="AF101">
        <f t="shared" si="37"/>
        <v>280.38173255717385</v>
      </c>
      <c r="AG101">
        <f t="shared" si="38"/>
        <v>151.45532248991282</v>
      </c>
      <c r="AH101">
        <f t="shared" si="39"/>
        <v>154.84275086510416</v>
      </c>
      <c r="AI101">
        <f t="shared" si="40"/>
        <v>120.85074457054934</v>
      </c>
    </row>
    <row r="102" spans="1:35" x14ac:dyDescent="0.35">
      <c r="A102">
        <f t="shared" ref="A102:A133" si="42">A101+1</f>
        <v>98</v>
      </c>
      <c r="B102" s="1">
        <v>43889</v>
      </c>
      <c r="C102">
        <v>-7.7643612416974706E-2</v>
      </c>
      <c r="D102" s="2">
        <v>-7.9025229364056648E-2</v>
      </c>
      <c r="E102" s="3">
        <v>-4.4737675378872299E-2</v>
      </c>
      <c r="F102" s="3">
        <v>-4.6882073212447306E-2</v>
      </c>
      <c r="G102" s="3">
        <v>-8.1750584415859029E-2</v>
      </c>
      <c r="H102" s="3">
        <v>-8.444605493756685E-2</v>
      </c>
      <c r="I102" s="3">
        <v>8.5968594641609997E-3</v>
      </c>
      <c r="J102" s="2">
        <v>1.2121954546846725E-2</v>
      </c>
      <c r="K102" s="2">
        <v>7.5394563125574798E-4</v>
      </c>
      <c r="Z102" s="1">
        <f t="shared" si="41"/>
        <v>43889</v>
      </c>
      <c r="AA102">
        <f t="shared" ref="AA102:AA133" si="43">IF($Z102&lt;$B$1,100,AA101*(1+C102))</f>
        <v>225.32641760196253</v>
      </c>
      <c r="AB102">
        <f t="shared" ref="AB102:AB133" si="44">IF($Z102&lt;$B$1,100,AB101*(1+D102))</f>
        <v>249.63659352646457</v>
      </c>
      <c r="AC102">
        <f t="shared" ref="AC102:AC133" si="45">IF($Z102&lt;$B$1,100,AC101*(1+E102))</f>
        <v>330.90254824188594</v>
      </c>
      <c r="AD102">
        <f t="shared" ref="AD102:AD133" si="46">IF($Z102&lt;$B$1,100,AD101*(1+F102))</f>
        <v>311.32572976168916</v>
      </c>
      <c r="AE102">
        <f t="shared" ref="AE102:AE133" si="47">IF($Z102&lt;$B$1,100,AE101*(1+G102))</f>
        <v>219.82866399999983</v>
      </c>
      <c r="AF102">
        <f t="shared" ref="AF102:AF133" si="48">IF($Z102&lt;$B$1,100,AF101*(1+H102))</f>
        <v>256.70460136616055</v>
      </c>
      <c r="AG102">
        <f t="shared" ref="AG102:AG133" si="49">IF($Z102&lt;$B$1,100,AG101*(1+I102))</f>
        <v>152.75736261245777</v>
      </c>
      <c r="AH102">
        <f t="shared" ref="AH102:AH133" si="50">IF($Z102&lt;$B$1,100,AH101*(1+J102))</f>
        <v>156.71974765299967</v>
      </c>
      <c r="AI102">
        <f t="shared" ref="AI102:AI133" si="51">IF($Z102&lt;$B$1,100,AI101*(1+K102))</f>
        <v>120.94185946145231</v>
      </c>
    </row>
    <row r="103" spans="1:35" x14ac:dyDescent="0.35">
      <c r="A103">
        <f t="shared" si="42"/>
        <v>99</v>
      </c>
      <c r="B103" s="1">
        <v>43921</v>
      </c>
      <c r="C103">
        <v>-0.20829147145749727</v>
      </c>
      <c r="D103" s="2">
        <v>-0.13382973821413713</v>
      </c>
      <c r="E103" s="3">
        <v>-8.6024312007063508E-2</v>
      </c>
      <c r="F103" s="3">
        <v>-0.35158436853715525</v>
      </c>
      <c r="G103" s="3">
        <v>-0.2313209527580079</v>
      </c>
      <c r="H103" s="3">
        <v>-0.1193025252965263</v>
      </c>
      <c r="I103" s="3">
        <v>-2.1382051887857134E-3</v>
      </c>
      <c r="J103" s="2">
        <v>-1.7201366940183038E-2</v>
      </c>
      <c r="K103" s="2">
        <v>9.9344798222200659E-4</v>
      </c>
      <c r="Z103" s="1">
        <f t="shared" si="41"/>
        <v>43921</v>
      </c>
      <c r="AA103">
        <f t="shared" si="43"/>
        <v>178.39284652140324</v>
      </c>
      <c r="AB103">
        <f t="shared" si="44"/>
        <v>216.22779356614885</v>
      </c>
      <c r="AC103">
        <f t="shared" si="45"/>
        <v>302.43688418799354</v>
      </c>
      <c r="AD103">
        <f t="shared" si="46"/>
        <v>201.86846965405664</v>
      </c>
      <c r="AE103">
        <f t="shared" si="47"/>
        <v>168.97768799999989</v>
      </c>
      <c r="AF103">
        <f t="shared" si="48"/>
        <v>226.07909416793947</v>
      </c>
      <c r="AG103">
        <f t="shared" si="49"/>
        <v>152.43073602709458</v>
      </c>
      <c r="AH103">
        <f t="shared" si="50"/>
        <v>154.02395376684754</v>
      </c>
      <c r="AI103">
        <f t="shared" si="51"/>
        <v>121.06200890770047</v>
      </c>
    </row>
    <row r="104" spans="1:35" x14ac:dyDescent="0.35">
      <c r="A104">
        <f t="shared" si="42"/>
        <v>100</v>
      </c>
      <c r="B104" s="1">
        <v>43951</v>
      </c>
      <c r="C104">
        <v>9.022314875952353E-2</v>
      </c>
      <c r="D104" s="2">
        <v>9.8034265779811003E-2</v>
      </c>
      <c r="E104" s="3">
        <v>3.4556291235634529E-2</v>
      </c>
      <c r="F104" s="3">
        <v>0.13688897776993936</v>
      </c>
      <c r="G104" s="3">
        <v>5.7697605615245395E-2</v>
      </c>
      <c r="H104" s="3">
        <v>5.6468639682086597E-2</v>
      </c>
      <c r="I104" s="3">
        <v>-6.9267450016263776E-4</v>
      </c>
      <c r="J104" s="2">
        <v>1.5025409315287064E-2</v>
      </c>
      <c r="K104" s="2">
        <v>4.7470979520602974E-4</v>
      </c>
      <c r="Z104" s="1">
        <f t="shared" si="41"/>
        <v>43951</v>
      </c>
      <c r="AA104">
        <f t="shared" si="43"/>
        <v>194.48801085073865</v>
      </c>
      <c r="AB104">
        <f t="shared" si="44"/>
        <v>237.42552654959479</v>
      </c>
      <c r="AC104">
        <f t="shared" si="45"/>
        <v>312.88798123839172</v>
      </c>
      <c r="AD104">
        <f t="shared" si="46"/>
        <v>229.50203810898248</v>
      </c>
      <c r="AE104">
        <f t="shared" si="47"/>
        <v>178.72729599999985</v>
      </c>
      <c r="AF104">
        <f t="shared" si="48"/>
        <v>238.84547307616137</v>
      </c>
      <c r="AG104">
        <f t="shared" si="49"/>
        <v>152.32515114320759</v>
      </c>
      <c r="AH104">
        <f t="shared" si="50"/>
        <v>156.33822671655327</v>
      </c>
      <c r="AI104">
        <f t="shared" si="51"/>
        <v>121.11947822915627</v>
      </c>
    </row>
    <row r="105" spans="1:35" x14ac:dyDescent="0.35">
      <c r="A105">
        <f t="shared" si="42"/>
        <v>101</v>
      </c>
      <c r="B105" s="1">
        <v>43980</v>
      </c>
      <c r="C105">
        <v>4.5829281372869568E-2</v>
      </c>
      <c r="D105" s="2">
        <v>4.2338603239218564E-2</v>
      </c>
      <c r="E105" s="3">
        <v>2.9426430622226274E-2</v>
      </c>
      <c r="F105" s="3">
        <v>7.0505310682608124E-2</v>
      </c>
      <c r="G105" s="3">
        <v>5.8094763544120909E-3</v>
      </c>
      <c r="H105" s="3">
        <v>4.4335528885512066E-2</v>
      </c>
      <c r="I105" s="3">
        <v>2.8538423919139966E-3</v>
      </c>
      <c r="J105" s="2">
        <v>2.6820937611449214E-3</v>
      </c>
      <c r="K105" s="2">
        <v>8.9034770722751233E-5</v>
      </c>
      <c r="Z105" s="1">
        <f t="shared" si="41"/>
        <v>43980</v>
      </c>
      <c r="AA105">
        <f t="shared" si="43"/>
        <v>203.40125662366685</v>
      </c>
      <c r="AB105">
        <f t="shared" si="44"/>
        <v>247.47779171704065</v>
      </c>
      <c r="AC105">
        <f t="shared" si="45"/>
        <v>322.0951577108317</v>
      </c>
      <c r="AD105">
        <f t="shared" si="46"/>
        <v>245.68315060814805</v>
      </c>
      <c r="AE105">
        <f t="shared" si="47"/>
        <v>179.76560799999987</v>
      </c>
      <c r="AF105">
        <f t="shared" si="48"/>
        <v>249.43481344690332</v>
      </c>
      <c r="AG105">
        <f t="shared" si="49"/>
        <v>152.75986311689479</v>
      </c>
      <c r="AH105">
        <f t="shared" si="50"/>
        <v>156.75754049905819</v>
      </c>
      <c r="AI105">
        <f t="shared" si="51"/>
        <v>121.13026207413047</v>
      </c>
    </row>
    <row r="106" spans="1:35" x14ac:dyDescent="0.35">
      <c r="A106">
        <f t="shared" si="42"/>
        <v>102</v>
      </c>
      <c r="B106" s="1">
        <v>44012</v>
      </c>
      <c r="C106">
        <v>2.4328379268704126E-2</v>
      </c>
      <c r="D106" s="2">
        <v>2.7894416681394363E-2</v>
      </c>
      <c r="E106" s="3">
        <v>-5.5637355733653138E-3</v>
      </c>
      <c r="F106" s="3">
        <v>-1.2162757504119215E-2</v>
      </c>
      <c r="G106" s="3">
        <v>2.2321177252102586E-2</v>
      </c>
      <c r="H106" s="3">
        <v>-3.0315761429252186E-2</v>
      </c>
      <c r="I106" s="3">
        <v>3.0939979278727936E-3</v>
      </c>
      <c r="J106" s="2">
        <v>4.8172382878315378E-3</v>
      </c>
      <c r="K106" s="2">
        <v>7.4992859272704493E-5</v>
      </c>
      <c r="Z106" s="1">
        <f t="shared" si="41"/>
        <v>44012</v>
      </c>
      <c r="AA106">
        <f t="shared" si="43"/>
        <v>208.34967953853842</v>
      </c>
      <c r="AB106">
        <f t="shared" si="44"/>
        <v>254.38104035858711</v>
      </c>
      <c r="AC106">
        <f t="shared" si="45"/>
        <v>320.30310542386724</v>
      </c>
      <c r="AD106">
        <f t="shared" si="46"/>
        <v>242.69496602445315</v>
      </c>
      <c r="AE106">
        <f t="shared" si="47"/>
        <v>183.77818799999986</v>
      </c>
      <c r="AF106">
        <f t="shared" si="48"/>
        <v>241.87300715029698</v>
      </c>
      <c r="AG106">
        <f t="shared" si="49"/>
        <v>153.2325018168406</v>
      </c>
      <c r="AH106">
        <f t="shared" si="50"/>
        <v>157.51267892505655</v>
      </c>
      <c r="AI106">
        <f t="shared" si="51"/>
        <v>121.13934597882786</v>
      </c>
    </row>
    <row r="107" spans="1:35" x14ac:dyDescent="0.35">
      <c r="A107">
        <f t="shared" si="42"/>
        <v>103</v>
      </c>
      <c r="B107" s="1">
        <v>44043</v>
      </c>
      <c r="C107">
        <v>6.0253923236464058E-3</v>
      </c>
      <c r="D107" s="2">
        <v>3.8545731195765098E-2</v>
      </c>
      <c r="E107" s="3">
        <v>1.1121239352805512E-2</v>
      </c>
      <c r="F107" s="3">
        <v>6.2683504513256771E-3</v>
      </c>
      <c r="G107" s="3">
        <v>2.1360249781111174E-2</v>
      </c>
      <c r="H107" s="3">
        <v>2.7419661633080183E-2</v>
      </c>
      <c r="I107" s="3">
        <v>3.7206823530522293E-3</v>
      </c>
      <c r="J107" s="2">
        <v>1.0307180997856991E-2</v>
      </c>
      <c r="K107" s="2">
        <v>9.0870226183259462E-5</v>
      </c>
      <c r="Z107" s="1">
        <f t="shared" si="41"/>
        <v>44043</v>
      </c>
      <c r="AA107">
        <f t="shared" si="43"/>
        <v>209.60506809826413</v>
      </c>
      <c r="AB107">
        <f t="shared" si="44"/>
        <v>264.18634356154831</v>
      </c>
      <c r="AC107">
        <f t="shared" si="45"/>
        <v>323.86527292473295</v>
      </c>
      <c r="AD107">
        <f t="shared" si="46"/>
        <v>244.21626312426702</v>
      </c>
      <c r="AE107">
        <f t="shared" si="47"/>
        <v>187.70373599999985</v>
      </c>
      <c r="AF107">
        <f t="shared" si="48"/>
        <v>248.50508316453372</v>
      </c>
      <c r="AG107">
        <f t="shared" si="49"/>
        <v>153.80263128226457</v>
      </c>
      <c r="AH107">
        <f t="shared" si="50"/>
        <v>159.13619061619443</v>
      </c>
      <c r="AI107">
        <f t="shared" si="51"/>
        <v>121.15035393859665</v>
      </c>
    </row>
    <row r="108" spans="1:35" x14ac:dyDescent="0.35">
      <c r="A108">
        <f t="shared" si="42"/>
        <v>104</v>
      </c>
      <c r="B108" s="1">
        <v>44074</v>
      </c>
      <c r="C108">
        <v>3.0492977872416782E-2</v>
      </c>
      <c r="D108" s="2">
        <v>5.6401882953303062E-2</v>
      </c>
      <c r="E108" s="3">
        <v>2.9326296164335908E-2</v>
      </c>
      <c r="F108" s="3">
        <v>7.9474972693243329E-2</v>
      </c>
      <c r="G108" s="3">
        <v>1.4691769374265418E-2</v>
      </c>
      <c r="H108" s="3">
        <v>3.4867306243460128E-3</v>
      </c>
      <c r="I108" s="3">
        <v>-4.2202820318966161E-3</v>
      </c>
      <c r="J108" s="2">
        <v>-7.1246231128552218E-3</v>
      </c>
      <c r="K108" s="2">
        <v>9.2939213810483423E-5</v>
      </c>
      <c r="Z108" s="1">
        <f t="shared" si="41"/>
        <v>44074</v>
      </c>
      <c r="AA108">
        <f t="shared" si="43"/>
        <v>215.9965508017309</v>
      </c>
      <c r="AB108">
        <f t="shared" si="44"/>
        <v>279.0869507889679</v>
      </c>
      <c r="AC108">
        <f t="shared" si="45"/>
        <v>333.36304183586714</v>
      </c>
      <c r="AD108">
        <f t="shared" si="46"/>
        <v>263.62534396731405</v>
      </c>
      <c r="AE108">
        <f t="shared" si="47"/>
        <v>190.46143599999985</v>
      </c>
      <c r="AF108">
        <f t="shared" si="48"/>
        <v>249.37155344830916</v>
      </c>
      <c r="AG108">
        <f t="shared" si="49"/>
        <v>153.15354080100562</v>
      </c>
      <c r="AH108">
        <f t="shared" si="50"/>
        <v>158.00240523443856</v>
      </c>
      <c r="AI108">
        <f t="shared" si="51"/>
        <v>121.16161355724456</v>
      </c>
    </row>
    <row r="109" spans="1:35" x14ac:dyDescent="0.35">
      <c r="A109">
        <f t="shared" si="42"/>
        <v>105</v>
      </c>
      <c r="B109" s="1">
        <v>44104</v>
      </c>
      <c r="C109">
        <v>-3.5947779789339163E-2</v>
      </c>
      <c r="D109" s="2">
        <v>-2.7788707503151766E-2</v>
      </c>
      <c r="E109" s="3">
        <v>-6.0818311711996476E-4</v>
      </c>
      <c r="F109" s="3">
        <v>-1.1454339594430762E-2</v>
      </c>
      <c r="G109" s="3">
        <v>-2.3936919177696359E-2</v>
      </c>
      <c r="H109" s="3">
        <v>-5.5091618643010598E-4</v>
      </c>
      <c r="I109" s="3">
        <v>1.0754819208260713E-2</v>
      </c>
      <c r="J109" s="2">
        <v>3.6506274913894465E-3</v>
      </c>
      <c r="K109" s="2">
        <v>7.1669911522187491E-5</v>
      </c>
      <c r="Z109" s="1">
        <f t="shared" si="41"/>
        <v>44104</v>
      </c>
      <c r="AA109">
        <f t="shared" si="43"/>
        <v>208.23195435825346</v>
      </c>
      <c r="AB109">
        <f t="shared" si="44"/>
        <v>271.33148514554676</v>
      </c>
      <c r="AC109">
        <f t="shared" si="45"/>
        <v>333.16029606195082</v>
      </c>
      <c r="AD109">
        <f t="shared" si="46"/>
        <v>260.60568975181383</v>
      </c>
      <c r="AE109">
        <f t="shared" si="47"/>
        <v>185.90237599999986</v>
      </c>
      <c r="AF109">
        <f t="shared" si="48"/>
        <v>249.23417062307925</v>
      </c>
      <c r="AG109">
        <f t="shared" si="49"/>
        <v>154.80067944342542</v>
      </c>
      <c r="AH109">
        <f t="shared" si="50"/>
        <v>158.57921315869305</v>
      </c>
      <c r="AI109">
        <f t="shared" si="51"/>
        <v>121.17029719936809</v>
      </c>
    </row>
    <row r="110" spans="1:35" x14ac:dyDescent="0.35">
      <c r="A110">
        <f t="shared" si="42"/>
        <v>106</v>
      </c>
      <c r="B110" s="1">
        <v>44134</v>
      </c>
      <c r="C110">
        <v>1.8875428602111333E-2</v>
      </c>
      <c r="D110" s="2">
        <v>-2.5864647990091916E-2</v>
      </c>
      <c r="E110" s="3">
        <v>-4.4931365766475162E-3</v>
      </c>
      <c r="F110" s="3">
        <v>-2.7765687521968951E-3</v>
      </c>
      <c r="G110" s="3">
        <v>-3.3957909177018908E-2</v>
      </c>
      <c r="H110" s="3">
        <v>-8.5785193465353071E-3</v>
      </c>
      <c r="I110" s="3">
        <v>2.7858890615408693E-3</v>
      </c>
      <c r="J110" s="2">
        <v>-1.5404815907782421E-5</v>
      </c>
      <c r="K110" s="2">
        <v>1.113598909234792E-4</v>
      </c>
      <c r="Z110" s="1">
        <f t="shared" si="41"/>
        <v>44134</v>
      </c>
      <c r="AA110">
        <f t="shared" si="43"/>
        <v>212.16242174542077</v>
      </c>
      <c r="AB110">
        <f t="shared" si="44"/>
        <v>264.31359179362835</v>
      </c>
      <c r="AC110">
        <f t="shared" si="45"/>
        <v>331.66336134982816</v>
      </c>
      <c r="AD110">
        <f t="shared" si="46"/>
        <v>259.88210013700422</v>
      </c>
      <c r="AE110">
        <f t="shared" si="47"/>
        <v>179.58951999999985</v>
      </c>
      <c r="AF110">
        <f t="shared" si="48"/>
        <v>247.09611046857148</v>
      </c>
      <c r="AG110">
        <f t="shared" si="49"/>
        <v>155.23193696300595</v>
      </c>
      <c r="AH110">
        <f t="shared" si="50"/>
        <v>158.57677027510755</v>
      </c>
      <c r="AI110">
        <f t="shared" si="51"/>
        <v>121.18379071044738</v>
      </c>
    </row>
    <row r="111" spans="1:35" x14ac:dyDescent="0.35">
      <c r="A111">
        <f t="shared" si="42"/>
        <v>107</v>
      </c>
      <c r="B111" s="1">
        <v>44165</v>
      </c>
      <c r="C111">
        <v>0.10228126804861271</v>
      </c>
      <c r="D111" s="2">
        <v>0.11040682524037204</v>
      </c>
      <c r="E111" s="3">
        <v>7.0072584816746497E-2</v>
      </c>
      <c r="F111" s="3">
        <v>0.12875357032700752</v>
      </c>
      <c r="G111" s="3">
        <v>0.11067282767947706</v>
      </c>
      <c r="H111" s="3">
        <v>5.1792354757459469E-2</v>
      </c>
      <c r="I111" s="3">
        <v>-1.087348903149099E-3</v>
      </c>
      <c r="J111" s="2">
        <v>5.3038692056608383E-3</v>
      </c>
      <c r="K111" s="2">
        <v>7.0227629000108038E-5</v>
      </c>
      <c r="Z111" s="1">
        <f t="shared" si="41"/>
        <v>44165</v>
      </c>
      <c r="AA111">
        <f t="shared" si="43"/>
        <v>233.86266327380696</v>
      </c>
      <c r="AB111">
        <f t="shared" si="44"/>
        <v>293.49561633144253</v>
      </c>
      <c r="AC111">
        <f t="shared" si="45"/>
        <v>354.90387036862126</v>
      </c>
      <c r="AD111">
        <f t="shared" si="46"/>
        <v>293.34284839372441</v>
      </c>
      <c r="AE111">
        <f t="shared" si="47"/>
        <v>199.46519999999984</v>
      </c>
      <c r="AF111">
        <f t="shared" si="48"/>
        <v>259.89379988114814</v>
      </c>
      <c r="AG111">
        <f t="shared" si="49"/>
        <v>155.06314568661551</v>
      </c>
      <c r="AH111">
        <f t="shared" si="50"/>
        <v>159.41784072370285</v>
      </c>
      <c r="AI111">
        <f t="shared" si="51"/>
        <v>121.19230116074222</v>
      </c>
    </row>
    <row r="112" spans="1:35" x14ac:dyDescent="0.35">
      <c r="A112">
        <f t="shared" si="42"/>
        <v>108</v>
      </c>
      <c r="B112" s="1">
        <v>44196</v>
      </c>
      <c r="C112">
        <v>1.3196385566281332E-2</v>
      </c>
      <c r="D112" s="2">
        <v>3.7782131718585799E-2</v>
      </c>
      <c r="E112" s="3">
        <v>-8.5510264835131355E-4</v>
      </c>
      <c r="F112" s="3">
        <v>6.022814743001037E-3</v>
      </c>
      <c r="G112" s="3">
        <v>3.0613901572805746E-2</v>
      </c>
      <c r="H112" s="3">
        <v>2.6897714923559413E-3</v>
      </c>
      <c r="I112" s="3">
        <v>-2.7212380822326798E-3</v>
      </c>
      <c r="J112" s="2">
        <v>2.5617751064328509E-3</v>
      </c>
      <c r="K112" s="2">
        <v>2.5650020960776843E-5</v>
      </c>
      <c r="Z112" s="1">
        <f t="shared" si="41"/>
        <v>44196</v>
      </c>
      <c r="AA112">
        <f t="shared" si="43"/>
        <v>236.94880514792553</v>
      </c>
      <c r="AB112">
        <f t="shared" si="44"/>
        <v>304.58450636650463</v>
      </c>
      <c r="AC112">
        <f t="shared" si="45"/>
        <v>354.60039112915894</v>
      </c>
      <c r="AD112">
        <f t="shared" si="46"/>
        <v>295.10959802578407</v>
      </c>
      <c r="AE112">
        <f t="shared" si="47"/>
        <v>205.57160799999986</v>
      </c>
      <c r="AF112">
        <f t="shared" si="48"/>
        <v>260.59285481510852</v>
      </c>
      <c r="AG112">
        <f t="shared" si="49"/>
        <v>154.6411819494223</v>
      </c>
      <c r="AH112">
        <f t="shared" si="50"/>
        <v>159.82623337959012</v>
      </c>
      <c r="AI112">
        <f t="shared" si="51"/>
        <v>121.19540974580728</v>
      </c>
    </row>
    <row r="113" spans="1:35" x14ac:dyDescent="0.35">
      <c r="A113">
        <f t="shared" si="42"/>
        <v>109</v>
      </c>
      <c r="B113" s="1">
        <v>44225</v>
      </c>
      <c r="C113">
        <v>3.317374708886156E-3</v>
      </c>
      <c r="D113" s="2">
        <v>-1.9939492190675923E-3</v>
      </c>
      <c r="E113" s="3">
        <v>1.1790264237854231E-3</v>
      </c>
      <c r="F113" s="3">
        <v>-4.0702698995780162E-2</v>
      </c>
      <c r="G113" s="3">
        <v>-4.7702501796842434E-3</v>
      </c>
      <c r="H113" s="3">
        <v>-1.1090677259575354E-2</v>
      </c>
      <c r="I113" s="3">
        <v>-4.1928174482669389E-3</v>
      </c>
      <c r="J113" s="2">
        <v>-5.7182468718223189E-3</v>
      </c>
      <c r="K113" s="2">
        <v>1.2360163757607623E-5</v>
      </c>
      <c r="Z113" s="1">
        <f t="shared" si="41"/>
        <v>44225</v>
      </c>
      <c r="AA113">
        <f t="shared" si="43"/>
        <v>237.73485312142404</v>
      </c>
      <c r="AB113">
        <f t="shared" si="44"/>
        <v>303.97718032789504</v>
      </c>
      <c r="AC113">
        <f t="shared" si="45"/>
        <v>355.01847436018488</v>
      </c>
      <c r="AD113">
        <f t="shared" si="46"/>
        <v>283.09784088657489</v>
      </c>
      <c r="AE113">
        <f t="shared" si="47"/>
        <v>204.59097999999989</v>
      </c>
      <c r="AF113">
        <f t="shared" si="48"/>
        <v>257.70270356620279</v>
      </c>
      <c r="AG113">
        <f t="shared" si="49"/>
        <v>153.99279970352416</v>
      </c>
      <c r="AH113">
        <f t="shared" si="50"/>
        <v>158.91230752053212</v>
      </c>
      <c r="AI113">
        <f t="shared" si="51"/>
        <v>121.19690774091841</v>
      </c>
    </row>
    <row r="114" spans="1:35" x14ac:dyDescent="0.35">
      <c r="A114">
        <f t="shared" si="42"/>
        <v>110</v>
      </c>
      <c r="B114" s="1">
        <v>44253</v>
      </c>
      <c r="C114">
        <v>1.4760429110920681E-2</v>
      </c>
      <c r="D114" s="2">
        <v>2.4297516467707281E-2</v>
      </c>
      <c r="E114" s="3">
        <v>1.4057672117329334E-2</v>
      </c>
      <c r="F114" s="3">
        <v>-2.481357025867359E-2</v>
      </c>
      <c r="G114" s="3">
        <v>3.4621126307718741E-2</v>
      </c>
      <c r="H114" s="3">
        <v>-1.1480373025338553E-2</v>
      </c>
      <c r="I114" s="3">
        <v>-3.5808856490877949E-2</v>
      </c>
      <c r="J114" s="2">
        <v>-1.5587741405175271E-2</v>
      </c>
      <c r="K114" s="2">
        <v>-4.5597564968247184E-6</v>
      </c>
      <c r="Z114" s="1">
        <f t="shared" si="41"/>
        <v>44253</v>
      </c>
      <c r="AA114">
        <f t="shared" si="43"/>
        <v>241.24392156811797</v>
      </c>
      <c r="AB114">
        <f t="shared" si="44"/>
        <v>311.36307087271928</v>
      </c>
      <c r="AC114">
        <f t="shared" si="45"/>
        <v>360.00920766833485</v>
      </c>
      <c r="AD114">
        <f t="shared" si="46"/>
        <v>276.07317272165704</v>
      </c>
      <c r="AE114">
        <f t="shared" si="47"/>
        <v>211.67415015999984</v>
      </c>
      <c r="AF114">
        <f t="shared" si="48"/>
        <v>254.74418039962453</v>
      </c>
      <c r="AG114">
        <f t="shared" si="49"/>
        <v>148.47849363831216</v>
      </c>
      <c r="AH114">
        <f t="shared" si="50"/>
        <v>156.43522356480238</v>
      </c>
      <c r="AI114">
        <f t="shared" si="51"/>
        <v>121.19635511253094</v>
      </c>
    </row>
    <row r="115" spans="1:35" x14ac:dyDescent="0.35">
      <c r="A115">
        <f t="shared" si="42"/>
        <v>111</v>
      </c>
      <c r="B115" s="1">
        <v>44286</v>
      </c>
      <c r="C115">
        <v>2.2963662760931758E-2</v>
      </c>
      <c r="D115" s="2">
        <v>3.5578765643426546E-2</v>
      </c>
      <c r="E115" s="3">
        <v>4.4309677532180736E-2</v>
      </c>
      <c r="F115" s="3">
        <v>6.2980920077336799E-2</v>
      </c>
      <c r="G115" s="3">
        <v>3.9448245870779663E-2</v>
      </c>
      <c r="H115" s="3">
        <v>8.5518440201973078E-2</v>
      </c>
      <c r="I115" s="3">
        <v>8.0035908981130888E-3</v>
      </c>
      <c r="J115" s="2">
        <v>-4.1621081890926837E-3</v>
      </c>
      <c r="K115" s="2">
        <v>2.0267894088599192E-5</v>
      </c>
      <c r="Z115" s="1">
        <f t="shared" si="41"/>
        <v>44286</v>
      </c>
      <c r="AA115">
        <f t="shared" si="43"/>
        <v>246.78376562613289</v>
      </c>
      <c r="AB115">
        <f t="shared" si="44"/>
        <v>322.44098460131738</v>
      </c>
      <c r="AC115">
        <f t="shared" si="45"/>
        <v>375.96109956873465</v>
      </c>
      <c r="AD115">
        <f t="shared" si="46"/>
        <v>293.46051514833653</v>
      </c>
      <c r="AE115">
        <f t="shared" si="47"/>
        <v>220.02432407999984</v>
      </c>
      <c r="AF115">
        <f t="shared" si="48"/>
        <v>276.52950535793047</v>
      </c>
      <c r="AG115">
        <f t="shared" si="49"/>
        <v>149.6668547585613</v>
      </c>
      <c r="AH115">
        <f t="shared" si="50"/>
        <v>155.78412323974078</v>
      </c>
      <c r="AI115">
        <f t="shared" si="51"/>
        <v>121.19881150742029</v>
      </c>
    </row>
    <row r="116" spans="1:35" x14ac:dyDescent="0.35">
      <c r="A116">
        <f t="shared" si="42"/>
        <v>112</v>
      </c>
      <c r="B116" s="1">
        <v>44316</v>
      </c>
      <c r="C116">
        <v>3.6973984187422371E-2</v>
      </c>
      <c r="D116" s="2">
        <v>3.6980033087030906E-2</v>
      </c>
      <c r="E116" s="3">
        <v>2.9253154918742696E-2</v>
      </c>
      <c r="F116" s="3">
        <v>3.0840918860182365E-2</v>
      </c>
      <c r="G116" s="3">
        <v>6.6461179786118096E-2</v>
      </c>
      <c r="H116" s="3">
        <v>2.7810817616899186E-2</v>
      </c>
      <c r="I116" s="3">
        <v>5.6216131231940913E-3</v>
      </c>
      <c r="J116" s="2">
        <v>2.4278203117793495E-3</v>
      </c>
      <c r="K116" s="2">
        <v>2.8894633244291867E-5</v>
      </c>
      <c r="Z116" s="1">
        <f t="shared" si="41"/>
        <v>44316</v>
      </c>
      <c r="AA116">
        <f t="shared" si="43"/>
        <v>255.90834467410608</v>
      </c>
      <c r="AB116">
        <f t="shared" si="44"/>
        <v>334.36486288048894</v>
      </c>
      <c r="AC116">
        <f t="shared" si="45"/>
        <v>386.9591478578397</v>
      </c>
      <c r="AD116">
        <f t="shared" si="46"/>
        <v>302.51110708469366</v>
      </c>
      <c r="AE116">
        <f t="shared" si="47"/>
        <v>234.64740023999983</v>
      </c>
      <c r="AF116">
        <f t="shared" si="48"/>
        <v>284.22001699713121</v>
      </c>
      <c r="AG116">
        <f t="shared" si="49"/>
        <v>150.50822391337923</v>
      </c>
      <c r="AH116">
        <f t="shared" si="50"/>
        <v>156.16233909839497</v>
      </c>
      <c r="AI116">
        <f t="shared" si="51"/>
        <v>121.20231350262844</v>
      </c>
    </row>
    <row r="117" spans="1:35" x14ac:dyDescent="0.35">
      <c r="A117">
        <f t="shared" si="42"/>
        <v>113</v>
      </c>
      <c r="B117" s="1">
        <v>44347</v>
      </c>
      <c r="C117">
        <v>2.3081450479854881E-2</v>
      </c>
      <c r="D117" s="2">
        <v>1.0465990618284682E-2</v>
      </c>
      <c r="E117" s="3">
        <v>1.3382109563479849E-2</v>
      </c>
      <c r="F117" s="3">
        <v>1.7761471103327597E-2</v>
      </c>
      <c r="G117" s="3">
        <v>1.2991524120369746E-2</v>
      </c>
      <c r="H117" s="3">
        <v>-1.1585091405987846E-3</v>
      </c>
      <c r="I117" s="3">
        <v>2.6500355130689712E-3</v>
      </c>
      <c r="J117" s="2">
        <v>2.0915920392516885E-3</v>
      </c>
      <c r="K117" s="2">
        <v>3.9357601422818078E-5</v>
      </c>
      <c r="Z117" s="1">
        <f t="shared" si="41"/>
        <v>44347</v>
      </c>
      <c r="AA117">
        <f t="shared" si="43"/>
        <v>261.81508045908311</v>
      </c>
      <c r="AB117">
        <f t="shared" si="44"/>
        <v>337.86432239848017</v>
      </c>
      <c r="AC117">
        <f t="shared" si="45"/>
        <v>392.1374775710641</v>
      </c>
      <c r="AD117">
        <f t="shared" si="46"/>
        <v>307.88414937161411</v>
      </c>
      <c r="AE117">
        <f t="shared" si="47"/>
        <v>237.69582759999983</v>
      </c>
      <c r="AF117">
        <f t="shared" si="48"/>
        <v>283.89074550949891</v>
      </c>
      <c r="AG117">
        <f t="shared" si="49"/>
        <v>150.90707605175862</v>
      </c>
      <c r="AH117">
        <f t="shared" si="50"/>
        <v>156.48896700368408</v>
      </c>
      <c r="AI117">
        <f t="shared" si="51"/>
        <v>121.2070837349748</v>
      </c>
    </row>
    <row r="118" spans="1:35" x14ac:dyDescent="0.35">
      <c r="A118">
        <f t="shared" si="42"/>
        <v>114</v>
      </c>
      <c r="B118" s="1">
        <v>44377</v>
      </c>
      <c r="C118">
        <v>2.2536632455849359E-2</v>
      </c>
      <c r="D118" s="2">
        <v>2.1981335406917379E-2</v>
      </c>
      <c r="E118" s="3">
        <v>4.5289181561617875E-2</v>
      </c>
      <c r="F118" s="3">
        <v>5.5564752010610841E-2</v>
      </c>
      <c r="G118" s="3">
        <v>1.909448039465711E-2</v>
      </c>
      <c r="H118" s="3">
        <v>-3.1153066587439326E-3</v>
      </c>
      <c r="I118" s="3">
        <v>6.881363760136594E-3</v>
      </c>
      <c r="J118" s="2">
        <v>4.8668279759964683E-3</v>
      </c>
      <c r="K118" s="2">
        <v>2.6146838561391661E-5</v>
      </c>
      <c r="Z118" s="1">
        <f t="shared" si="41"/>
        <v>44377</v>
      </c>
      <c r="AA118">
        <f t="shared" si="43"/>
        <v>267.71551069878808</v>
      </c>
      <c r="AB118">
        <f t="shared" si="44"/>
        <v>345.29103139115205</v>
      </c>
      <c r="AC118">
        <f t="shared" si="45"/>
        <v>409.89706298989489</v>
      </c>
      <c r="AD118">
        <f t="shared" si="46"/>
        <v>324.99165577944569</v>
      </c>
      <c r="AE118">
        <f t="shared" si="47"/>
        <v>242.23450591999983</v>
      </c>
      <c r="AF118">
        <f t="shared" si="48"/>
        <v>283.00633877965737</v>
      </c>
      <c r="AG118">
        <f t="shared" si="49"/>
        <v>151.94552253604937</v>
      </c>
      <c r="AH118">
        <f t="shared" si="50"/>
        <v>157.25057188623239</v>
      </c>
      <c r="AI118">
        <f t="shared" si="51"/>
        <v>121.21025291702571</v>
      </c>
    </row>
    <row r="119" spans="1:35" x14ac:dyDescent="0.35">
      <c r="A119">
        <f t="shared" si="42"/>
        <v>115</v>
      </c>
      <c r="B119" s="1">
        <v>44407</v>
      </c>
      <c r="C119">
        <v>1.1058328298947373E-2</v>
      </c>
      <c r="D119" s="2">
        <v>7.1334340018833764E-3</v>
      </c>
      <c r="E119" s="3">
        <v>2.8894946318311687E-2</v>
      </c>
      <c r="F119" s="3">
        <v>4.6886961375394165E-3</v>
      </c>
      <c r="G119" s="3">
        <v>4.7531071745007702E-2</v>
      </c>
      <c r="H119" s="3">
        <v>1.7724617920266583E-2</v>
      </c>
      <c r="I119" s="3">
        <v>1.7606738790901355E-2</v>
      </c>
      <c r="J119" s="2">
        <v>1.2537638044238131E-2</v>
      </c>
      <c r="K119" s="2">
        <v>2.9931677415717672E-5</v>
      </c>
      <c r="Z119" s="1">
        <f t="shared" si="41"/>
        <v>44407</v>
      </c>
      <c r="AA119">
        <f t="shared" si="43"/>
        <v>270.67599670681562</v>
      </c>
      <c r="AB119">
        <f t="shared" si="44"/>
        <v>347.75414217502305</v>
      </c>
      <c r="AC119">
        <f t="shared" si="45"/>
        <v>421.74101662102152</v>
      </c>
      <c r="AD119">
        <f t="shared" si="46"/>
        <v>326.51544290063134</v>
      </c>
      <c r="AE119">
        <f t="shared" si="47"/>
        <v>253.74817159999984</v>
      </c>
      <c r="AF119">
        <f t="shared" si="48"/>
        <v>288.02251800354031</v>
      </c>
      <c r="AG119">
        <f t="shared" si="49"/>
        <v>154.6207876617886</v>
      </c>
      <c r="AH119">
        <f t="shared" si="50"/>
        <v>159.22212263879143</v>
      </c>
      <c r="AI119">
        <f t="shared" si="51"/>
        <v>121.2138809432155</v>
      </c>
    </row>
    <row r="120" spans="1:35" x14ac:dyDescent="0.35">
      <c r="A120">
        <f t="shared" si="42"/>
        <v>116</v>
      </c>
      <c r="B120" s="1">
        <v>44439</v>
      </c>
      <c r="C120">
        <v>2.6089571136193257E-2</v>
      </c>
      <c r="D120" s="2">
        <v>2.6300856295737418E-2</v>
      </c>
      <c r="E120" s="3">
        <v>3.1255488744007298E-2</v>
      </c>
      <c r="F120" s="3">
        <v>6.3752760384806928E-2</v>
      </c>
      <c r="G120" s="3">
        <v>1.5256483526914222E-2</v>
      </c>
      <c r="H120" s="3">
        <v>2.0887345572878191E-2</v>
      </c>
      <c r="I120" s="3">
        <v>9.1216721507625387E-4</v>
      </c>
      <c r="J120" s="2">
        <v>-2.1723336567317508E-3</v>
      </c>
      <c r="K120" s="2">
        <v>1.5255808691660988E-5</v>
      </c>
      <c r="Z120" s="1">
        <f t="shared" si="41"/>
        <v>44439</v>
      </c>
      <c r="AA120">
        <f t="shared" si="43"/>
        <v>277.73781737775812</v>
      </c>
      <c r="AB120">
        <f t="shared" si="44"/>
        <v>356.90037389461577</v>
      </c>
      <c r="AC120">
        <f t="shared" si="45"/>
        <v>434.92273821890603</v>
      </c>
      <c r="AD120">
        <f t="shared" si="46"/>
        <v>347.3317036938144</v>
      </c>
      <c r="AE120">
        <f t="shared" si="47"/>
        <v>257.61947639999983</v>
      </c>
      <c r="AF120">
        <f t="shared" si="48"/>
        <v>294.0385438698508</v>
      </c>
      <c r="AG120">
        <f t="shared" si="49"/>
        <v>154.76182767506296</v>
      </c>
      <c r="AH120">
        <f t="shared" si="50"/>
        <v>158.87623906288692</v>
      </c>
      <c r="AI120">
        <f t="shared" si="51"/>
        <v>121.21573015899395</v>
      </c>
    </row>
    <row r="121" spans="1:35" x14ac:dyDescent="0.35">
      <c r="A121">
        <f t="shared" si="42"/>
        <v>117</v>
      </c>
      <c r="B121" s="1">
        <v>44469</v>
      </c>
      <c r="C121">
        <v>-1.8869660060105042E-2</v>
      </c>
      <c r="D121" s="2">
        <v>-3.6420199293833777E-2</v>
      </c>
      <c r="E121" s="3">
        <v>-3.0023652051340943E-2</v>
      </c>
      <c r="F121" s="3">
        <v>-1.9427687963582629E-2</v>
      </c>
      <c r="G121" s="3">
        <v>-5.874832606406144E-2</v>
      </c>
      <c r="H121" s="3">
        <v>-4.4050338848426018E-2</v>
      </c>
      <c r="I121" s="3">
        <v>-1.5149115215910447E-2</v>
      </c>
      <c r="J121" s="2">
        <v>-9.7294002087519038E-3</v>
      </c>
      <c r="K121" s="2">
        <v>5.5012296351630852E-6</v>
      </c>
      <c r="Z121" s="1">
        <f t="shared" si="41"/>
        <v>44469</v>
      </c>
      <c r="AA121">
        <f t="shared" si="43"/>
        <v>272.49699917800427</v>
      </c>
      <c r="AB121">
        <f t="shared" si="44"/>
        <v>343.90199114933006</v>
      </c>
      <c r="AC121">
        <f t="shared" si="45"/>
        <v>421.86476925740516</v>
      </c>
      <c r="AD121">
        <f t="shared" si="46"/>
        <v>340.58385173459146</v>
      </c>
      <c r="AE121">
        <f t="shared" si="47"/>
        <v>242.48476339999985</v>
      </c>
      <c r="AF121">
        <f t="shared" si="48"/>
        <v>281.08604637788608</v>
      </c>
      <c r="AG121">
        <f t="shared" si="49"/>
        <v>152.41732291658855</v>
      </c>
      <c r="AH121">
        <f t="shared" si="50"/>
        <v>157.33046854938274</v>
      </c>
      <c r="AI121">
        <f t="shared" si="51"/>
        <v>121.21639699456095</v>
      </c>
    </row>
    <row r="122" spans="1:35" x14ac:dyDescent="0.35">
      <c r="A122">
        <f t="shared" si="42"/>
        <v>118</v>
      </c>
      <c r="B122" s="1">
        <v>44498</v>
      </c>
      <c r="C122">
        <v>9.9584937518781835E-4</v>
      </c>
      <c r="D122" s="2">
        <v>4.8621862613627442E-2</v>
      </c>
      <c r="E122" s="3">
        <v>1.1133416549277353E-2</v>
      </c>
      <c r="F122" s="3">
        <v>6.0432726320172048E-3</v>
      </c>
      <c r="G122" s="3">
        <v>6.1606626950648113E-2</v>
      </c>
      <c r="H122" s="3">
        <v>5.9335986307342381E-2</v>
      </c>
      <c r="I122" s="3">
        <v>-3.5549135332438531E-2</v>
      </c>
      <c r="J122" s="2">
        <v>-2.6195106045426853E-3</v>
      </c>
      <c r="K122" s="2">
        <v>-1.0582299093564451E-5</v>
      </c>
      <c r="Z122" s="1">
        <f t="shared" si="41"/>
        <v>44498</v>
      </c>
      <c r="AA122">
        <f t="shared" si="43"/>
        <v>272.76836514437622</v>
      </c>
      <c r="AB122">
        <f t="shared" si="44"/>
        <v>360.62314651554573</v>
      </c>
      <c r="AC122">
        <f t="shared" si="45"/>
        <v>426.56156546101261</v>
      </c>
      <c r="AD122">
        <f t="shared" si="46"/>
        <v>342.64209280468611</v>
      </c>
      <c r="AE122">
        <f t="shared" si="47"/>
        <v>257.4234317599998</v>
      </c>
      <c r="AF122">
        <f t="shared" si="48"/>
        <v>297.76456417694931</v>
      </c>
      <c r="AG122">
        <f t="shared" si="49"/>
        <v>146.99901887721876</v>
      </c>
      <c r="AH122">
        <f t="shared" si="50"/>
        <v>156.91833971859995</v>
      </c>
      <c r="AI122">
        <f t="shared" si="51"/>
        <v>121.21511424639291</v>
      </c>
    </row>
    <row r="123" spans="1:35" x14ac:dyDescent="0.35">
      <c r="A123">
        <f t="shared" si="42"/>
        <v>119</v>
      </c>
      <c r="B123" s="1">
        <v>44530</v>
      </c>
      <c r="C123">
        <v>-5.3158029762824244E-3</v>
      </c>
      <c r="D123" s="2">
        <v>-1.7898519632447263E-2</v>
      </c>
      <c r="E123" s="3">
        <v>3.4729137541609223E-2</v>
      </c>
      <c r="F123" s="3">
        <v>3.9550607453962661E-2</v>
      </c>
      <c r="G123" s="3">
        <v>-9.2914687044883815E-3</v>
      </c>
      <c r="H123" s="3">
        <v>-2.565450555106441E-2</v>
      </c>
      <c r="I123" s="3">
        <v>2.081260299618104E-2</v>
      </c>
      <c r="J123" s="2">
        <v>7.4011463443448555E-3</v>
      </c>
      <c r="K123" s="2">
        <v>5.5468150502946401E-5</v>
      </c>
      <c r="Z123" s="1">
        <f t="shared" si="41"/>
        <v>44530</v>
      </c>
      <c r="AA123">
        <f t="shared" si="43"/>
        <v>271.31838225710607</v>
      </c>
      <c r="AB123">
        <f t="shared" si="44"/>
        <v>354.16852604772231</v>
      </c>
      <c r="AC123">
        <f t="shared" si="45"/>
        <v>441.37568073787224</v>
      </c>
      <c r="AD123">
        <f t="shared" si="46"/>
        <v>356.19379571440851</v>
      </c>
      <c r="AE123">
        <f t="shared" si="47"/>
        <v>255.03158999999977</v>
      </c>
      <c r="AF123">
        <f t="shared" si="48"/>
        <v>290.12556151236146</v>
      </c>
      <c r="AG123">
        <f t="shared" si="49"/>
        <v>150.05845109793844</v>
      </c>
      <c r="AH123">
        <f t="shared" si="50"/>
        <v>158.07971531496892</v>
      </c>
      <c r="AI123">
        <f t="shared" si="51"/>
        <v>121.22183782459317</v>
      </c>
    </row>
    <row r="124" spans="1:35" x14ac:dyDescent="0.35">
      <c r="A124">
        <f t="shared" si="42"/>
        <v>120</v>
      </c>
      <c r="B124" s="1">
        <v>44561</v>
      </c>
      <c r="C124">
        <v>2.65067440260216E-2</v>
      </c>
      <c r="D124" s="2">
        <v>3.6716187584527882E-2</v>
      </c>
      <c r="E124" s="3">
        <v>1.4208859899018655E-2</v>
      </c>
      <c r="F124" s="3">
        <v>5.2430815380412055E-2</v>
      </c>
      <c r="G124" s="3">
        <v>6.4039721040048514E-2</v>
      </c>
      <c r="H124" s="3">
        <v>6.8673709545769235E-2</v>
      </c>
      <c r="I124" s="3">
        <v>9.1514599858388834E-4</v>
      </c>
      <c r="J124" s="2">
        <v>-4.4051541940322014E-3</v>
      </c>
      <c r="K124" s="2">
        <v>3.6285448455686264E-5</v>
      </c>
      <c r="Z124" s="1">
        <f t="shared" si="41"/>
        <v>44561</v>
      </c>
      <c r="AA124">
        <f t="shared" si="43"/>
        <v>278.51014916514947</v>
      </c>
      <c r="AB124">
        <f t="shared" si="44"/>
        <v>367.17224408662622</v>
      </c>
      <c r="AC124">
        <f t="shared" si="45"/>
        <v>447.64712594831065</v>
      </c>
      <c r="AD124">
        <f t="shared" si="46"/>
        <v>374.86932685715885</v>
      </c>
      <c r="AE124">
        <f t="shared" si="47"/>
        <v>271.36374187999979</v>
      </c>
      <c r="AF124">
        <f t="shared" si="48"/>
        <v>310.04956005546455</v>
      </c>
      <c r="AG124">
        <f t="shared" si="49"/>
        <v>150.19577648901441</v>
      </c>
      <c r="AH124">
        <f t="shared" si="50"/>
        <v>157.38334979405778</v>
      </c>
      <c r="AI124">
        <f t="shared" si="51"/>
        <v>121.22623641334125</v>
      </c>
    </row>
    <row r="125" spans="1:35" x14ac:dyDescent="0.35">
      <c r="A125">
        <f t="shared" si="42"/>
        <v>121</v>
      </c>
      <c r="B125" s="1">
        <v>44592</v>
      </c>
      <c r="C125">
        <v>-6.4543328227213204E-2</v>
      </c>
      <c r="D125" s="2">
        <v>-4.7027572193863554E-2</v>
      </c>
      <c r="E125" s="3">
        <v>-1.7957688445082165E-2</v>
      </c>
      <c r="F125" s="3">
        <v>-9.4470776815466229E-2</v>
      </c>
      <c r="G125" s="3">
        <v>-6.0616196423448176E-2</v>
      </c>
      <c r="H125" s="3">
        <v>-3.3348209113152505E-2</v>
      </c>
      <c r="I125" s="3">
        <v>-1.0198575733071258E-2</v>
      </c>
      <c r="J125" s="2">
        <v>-1.6374657719983698E-2</v>
      </c>
      <c r="K125" s="2">
        <v>5.0210579526144272E-5</v>
      </c>
      <c r="Z125" s="1">
        <f t="shared" si="41"/>
        <v>44592</v>
      </c>
      <c r="AA125">
        <f t="shared" si="43"/>
        <v>260.53417719297312</v>
      </c>
      <c r="AB125">
        <f t="shared" si="44"/>
        <v>349.90502487025952</v>
      </c>
      <c r="AC125">
        <f t="shared" si="45"/>
        <v>439.60841832719444</v>
      </c>
      <c r="AD125">
        <f t="shared" si="46"/>
        <v>339.45513034467211</v>
      </c>
      <c r="AE125">
        <f t="shared" si="47"/>
        <v>254.91470399999983</v>
      </c>
      <c r="AF125">
        <f t="shared" si="48"/>
        <v>299.70996249129399</v>
      </c>
      <c r="AG125">
        <f t="shared" si="49"/>
        <v>148.66399348770375</v>
      </c>
      <c r="AH125">
        <f t="shared" si="50"/>
        <v>154.80625131035561</v>
      </c>
      <c r="AI125">
        <f t="shared" si="51"/>
        <v>121.23232325292534</v>
      </c>
    </row>
    <row r="126" spans="1:35" x14ac:dyDescent="0.35">
      <c r="A126">
        <f t="shared" si="42"/>
        <v>122</v>
      </c>
      <c r="B126" s="1">
        <v>44620</v>
      </c>
      <c r="C126">
        <v>2.0868932549359398E-2</v>
      </c>
      <c r="D126" s="2">
        <v>-2.6820403912577118E-2</v>
      </c>
      <c r="E126" s="3">
        <v>-5.5440672948275038E-2</v>
      </c>
      <c r="F126" s="3">
        <v>1.5450739161126492E-2</v>
      </c>
      <c r="G126" s="3">
        <v>-2.918869991901285E-2</v>
      </c>
      <c r="H126" s="3">
        <v>-8.3560554165118539E-3</v>
      </c>
      <c r="I126" s="3">
        <v>-1.2100464412283296E-2</v>
      </c>
      <c r="J126" s="2">
        <v>-1.2982516395230737E-2</v>
      </c>
      <c r="K126" s="2">
        <v>5.0883011260216549E-5</v>
      </c>
      <c r="Z126" s="1">
        <f t="shared" si="41"/>
        <v>44620</v>
      </c>
      <c r="AA126">
        <f t="shared" si="43"/>
        <v>265.9712473636161</v>
      </c>
      <c r="AB126">
        <f t="shared" si="44"/>
        <v>340.52043077219884</v>
      </c>
      <c r="AC126">
        <f t="shared" si="45"/>
        <v>415.23623178140798</v>
      </c>
      <c r="AD126">
        <f t="shared" si="46"/>
        <v>344.69996302053386</v>
      </c>
      <c r="AE126">
        <f t="shared" si="47"/>
        <v>247.47407519999985</v>
      </c>
      <c r="AF126">
        <f t="shared" si="48"/>
        <v>297.20556943583603</v>
      </c>
      <c r="AG126">
        <f t="shared" si="49"/>
        <v>146.86509012511789</v>
      </c>
      <c r="AH126">
        <f t="shared" si="50"/>
        <v>152.79647661463471</v>
      </c>
      <c r="AI126">
        <f t="shared" si="51"/>
        <v>121.23849191859452</v>
      </c>
    </row>
    <row r="127" spans="1:35" x14ac:dyDescent="0.35">
      <c r="A127">
        <f t="shared" si="42"/>
        <v>123</v>
      </c>
      <c r="B127" s="1">
        <v>44651</v>
      </c>
      <c r="C127">
        <v>6.8972921131958298E-2</v>
      </c>
      <c r="D127" s="2">
        <v>2.2237925676644288E-2</v>
      </c>
      <c r="E127" s="3">
        <v>-1.4050265585010768E-2</v>
      </c>
      <c r="F127" s="3">
        <v>1.4437788190544865E-2</v>
      </c>
      <c r="G127" s="3">
        <v>5.0862109858689442E-2</v>
      </c>
      <c r="H127" s="3">
        <v>8.1464093612414024E-2</v>
      </c>
      <c r="I127" s="3">
        <v>-3.7474803203695894E-2</v>
      </c>
      <c r="J127" s="2">
        <v>-2.1280737772369052E-2</v>
      </c>
      <c r="K127" s="2">
        <v>3.3814629295081389E-5</v>
      </c>
      <c r="Z127" s="1">
        <f t="shared" si="41"/>
        <v>44651</v>
      </c>
      <c r="AA127">
        <f t="shared" si="43"/>
        <v>284.31606123139534</v>
      </c>
      <c r="AB127">
        <f t="shared" si="44"/>
        <v>348.09289880308989</v>
      </c>
      <c r="AC127">
        <f t="shared" si="45"/>
        <v>409.40205244436009</v>
      </c>
      <c r="AD127">
        <f t="shared" si="46"/>
        <v>349.67666807591297</v>
      </c>
      <c r="AE127">
        <f t="shared" si="47"/>
        <v>260.06112879999984</v>
      </c>
      <c r="AF127">
        <f t="shared" si="48"/>
        <v>321.41715176648779</v>
      </c>
      <c r="AG127">
        <f t="shared" si="49"/>
        <v>141.36134977518603</v>
      </c>
      <c r="AH127">
        <f t="shared" si="50"/>
        <v>149.54485486325675</v>
      </c>
      <c r="AI127">
        <f t="shared" si="51"/>
        <v>121.24259155325504</v>
      </c>
    </row>
    <row r="128" spans="1:35" x14ac:dyDescent="0.35">
      <c r="A128">
        <f t="shared" si="42"/>
        <v>124</v>
      </c>
      <c r="B128" s="1">
        <v>44680</v>
      </c>
      <c r="C128">
        <v>-8.3640566429225016E-3</v>
      </c>
      <c r="D128" s="2">
        <v>-7.0156700201435274E-2</v>
      </c>
      <c r="E128" s="3">
        <v>-2.8111958617428545E-2</v>
      </c>
      <c r="F128" s="3">
        <v>6.8804802715525248E-3</v>
      </c>
      <c r="G128" s="3">
        <v>-4.5145993383075678E-2</v>
      </c>
      <c r="H128" s="3">
        <v>-4.1258770731769534E-2</v>
      </c>
      <c r="I128" s="3">
        <v>-1.4876334221928578E-2</v>
      </c>
      <c r="J128" s="2">
        <v>-2.8826316613832725E-2</v>
      </c>
      <c r="K128" s="2">
        <v>-1.5974855160638679E-4</v>
      </c>
      <c r="Z128" s="1">
        <f t="shared" si="41"/>
        <v>44680</v>
      </c>
      <c r="AA128">
        <f t="shared" si="43"/>
        <v>281.93802559076335</v>
      </c>
      <c r="AB128">
        <f t="shared" si="44"/>
        <v>323.67184965951299</v>
      </c>
      <c r="AC128">
        <f t="shared" si="45"/>
        <v>397.89295888815394</v>
      </c>
      <c r="AD128">
        <f t="shared" si="46"/>
        <v>352.0826114920315</v>
      </c>
      <c r="AE128">
        <f t="shared" si="47"/>
        <v>248.32041079999985</v>
      </c>
      <c r="AF128">
        <f t="shared" si="48"/>
        <v>308.1558751924959</v>
      </c>
      <c r="AG128">
        <f t="shared" si="49"/>
        <v>139.25841108986742</v>
      </c>
      <c r="AH128">
        <f t="shared" si="50"/>
        <v>145.23402752899884</v>
      </c>
      <c r="AI128">
        <f t="shared" si="51"/>
        <v>121.2232232248614</v>
      </c>
    </row>
    <row r="129" spans="1:35" x14ac:dyDescent="0.35">
      <c r="A129">
        <f t="shared" si="42"/>
        <v>125</v>
      </c>
      <c r="B129" s="1">
        <v>44712</v>
      </c>
      <c r="C129">
        <v>-2.759599486573272E-2</v>
      </c>
      <c r="D129" s="2">
        <v>-1.8196000048749106E-3</v>
      </c>
      <c r="E129" s="3">
        <v>-7.618010179597956E-3</v>
      </c>
      <c r="F129" s="3">
        <v>-8.5512405880572739E-2</v>
      </c>
      <c r="G129" s="3">
        <v>-4.9964157034166679E-2</v>
      </c>
      <c r="H129" s="3">
        <v>1.4906231084943267E-2</v>
      </c>
      <c r="I129" s="3">
        <v>-8.8581547313481002E-3</v>
      </c>
      <c r="J129" s="2">
        <v>-1.9353268387088951E-3</v>
      </c>
      <c r="K129" s="2">
        <v>3.4855112819420775E-4</v>
      </c>
      <c r="Z129" s="1">
        <f t="shared" si="41"/>
        <v>44712</v>
      </c>
      <c r="AA129">
        <f t="shared" si="43"/>
        <v>274.1576652841058</v>
      </c>
      <c r="AB129">
        <f t="shared" si="44"/>
        <v>323.08289636029468</v>
      </c>
      <c r="AC129">
        <f t="shared" si="45"/>
        <v>394.86180627695364</v>
      </c>
      <c r="AD129">
        <f t="shared" si="46"/>
        <v>321.97518031463289</v>
      </c>
      <c r="AE129">
        <f t="shared" si="47"/>
        <v>235.91329079999988</v>
      </c>
      <c r="AF129">
        <f t="shared" si="48"/>
        <v>312.7493178782982</v>
      </c>
      <c r="AG129">
        <f t="shared" si="49"/>
        <v>138.02483853679169</v>
      </c>
      <c r="AH129">
        <f t="shared" si="50"/>
        <v>144.95295221762817</v>
      </c>
      <c r="AI129">
        <f t="shared" si="51"/>
        <v>121.26547571607976</v>
      </c>
    </row>
    <row r="130" spans="1:35" x14ac:dyDescent="0.35">
      <c r="A130">
        <f t="shared" si="42"/>
        <v>126</v>
      </c>
      <c r="B130" s="1">
        <v>44742</v>
      </c>
      <c r="C130">
        <v>-8.9663636435847183E-2</v>
      </c>
      <c r="D130" s="2">
        <v>-7.6830822803434007E-2</v>
      </c>
      <c r="E130" s="3">
        <v>-4.3814761740572306E-2</v>
      </c>
      <c r="F130" s="3">
        <v>-0.10390889774905065</v>
      </c>
      <c r="G130" s="3">
        <v>-8.4408656809767169E-2</v>
      </c>
      <c r="H130" s="3">
        <v>-5.1409019185674865E-2</v>
      </c>
      <c r="I130" s="3">
        <v>-1.4797486583439157E-2</v>
      </c>
      <c r="J130" s="2">
        <v>-1.6412385523918327E-2</v>
      </c>
      <c r="K130" s="2">
        <v>5.025028597953618E-4</v>
      </c>
      <c r="Z130" s="1">
        <f t="shared" si="41"/>
        <v>44742</v>
      </c>
      <c r="AA130">
        <f t="shared" si="43"/>
        <v>249.57569205797105</v>
      </c>
      <c r="AB130">
        <f t="shared" si="44"/>
        <v>298.26017159921668</v>
      </c>
      <c r="AC130">
        <f t="shared" si="45"/>
        <v>377.56103031447691</v>
      </c>
      <c r="AD130">
        <f t="shared" si="46"/>
        <v>288.51909422558754</v>
      </c>
      <c r="AE130">
        <f t="shared" si="47"/>
        <v>216.0001667999999</v>
      </c>
      <c r="AF130">
        <f t="shared" si="48"/>
        <v>296.67118219518602</v>
      </c>
      <c r="AG130">
        <f t="shared" si="49"/>
        <v>135.98241784036216</v>
      </c>
      <c r="AH130">
        <f t="shared" si="50"/>
        <v>142.57392848300233</v>
      </c>
      <c r="AI130">
        <f t="shared" si="51"/>
        <v>121.32641196442154</v>
      </c>
    </row>
    <row r="131" spans="1:35" x14ac:dyDescent="0.35">
      <c r="A131">
        <f t="shared" si="42"/>
        <v>127</v>
      </c>
      <c r="B131" s="1">
        <v>44771</v>
      </c>
      <c r="C131">
        <v>5.954493195884436E-2</v>
      </c>
      <c r="D131" s="2">
        <v>7.0283514059976238E-2</v>
      </c>
      <c r="E131" s="3">
        <v>5.4494259360293729E-2</v>
      </c>
      <c r="F131" s="3">
        <v>0.11782119967035731</v>
      </c>
      <c r="G131" s="3">
        <v>8.1393785294058274E-2</v>
      </c>
      <c r="H131" s="3">
        <v>6.0642735064826203E-2</v>
      </c>
      <c r="I131" s="3">
        <v>3.3566129557715652E-2</v>
      </c>
      <c r="J131" s="2">
        <v>2.4890482521953805E-2</v>
      </c>
      <c r="K131" s="2">
        <v>1.2271434614588017E-3</v>
      </c>
      <c r="Z131" s="1">
        <f t="shared" si="41"/>
        <v>44771</v>
      </c>
      <c r="AA131">
        <f t="shared" si="43"/>
        <v>264.43665966014441</v>
      </c>
      <c r="AB131">
        <f t="shared" si="44"/>
        <v>319.22294456334117</v>
      </c>
      <c r="AC131">
        <f t="shared" si="45"/>
        <v>398.13593902477373</v>
      </c>
      <c r="AD131">
        <f t="shared" si="46"/>
        <v>322.51276003505114</v>
      </c>
      <c r="AE131">
        <f t="shared" si="47"/>
        <v>233.58123799999987</v>
      </c>
      <c r="AF131">
        <f t="shared" si="48"/>
        <v>314.66213409841748</v>
      </c>
      <c r="AG131">
        <f t="shared" si="49"/>
        <v>140.54682129516317</v>
      </c>
      <c r="AH131">
        <f t="shared" si="50"/>
        <v>146.12266235799478</v>
      </c>
      <c r="AI131">
        <f t="shared" si="51"/>
        <v>121.47529687756594</v>
      </c>
    </row>
    <row r="132" spans="1:35" x14ac:dyDescent="0.35">
      <c r="A132">
        <f t="shared" si="42"/>
        <v>128</v>
      </c>
      <c r="B132" s="1">
        <v>44804</v>
      </c>
      <c r="C132">
        <v>1.1776579317434921E-2</v>
      </c>
      <c r="D132" s="2">
        <v>-3.0373242778337972E-2</v>
      </c>
      <c r="E132" s="3">
        <v>-1.9940813796705759E-2</v>
      </c>
      <c r="F132" s="3">
        <v>-3.6349506155033517E-2</v>
      </c>
      <c r="G132" s="3">
        <v>-5.9430314347421853E-2</v>
      </c>
      <c r="H132" s="3">
        <v>-1.7424774102991591E-2</v>
      </c>
      <c r="I132" s="3">
        <v>-2.5438307638166568E-2</v>
      </c>
      <c r="J132" s="2">
        <v>-2.718853811613331E-2</v>
      </c>
      <c r="K132" s="2">
        <v>1.5478128571826399E-3</v>
      </c>
      <c r="Z132" s="1">
        <f t="shared" si="41"/>
        <v>44804</v>
      </c>
      <c r="AA132">
        <f t="shared" si="43"/>
        <v>267.55081895706962</v>
      </c>
      <c r="AB132">
        <f t="shared" si="44"/>
        <v>309.5271085677029</v>
      </c>
      <c r="AC132">
        <f t="shared" si="45"/>
        <v>390.19678439890413</v>
      </c>
      <c r="AD132">
        <f t="shared" si="46"/>
        <v>310.7895804790802</v>
      </c>
      <c r="AE132">
        <f t="shared" si="47"/>
        <v>219.69943159999991</v>
      </c>
      <c r="AF132">
        <f t="shared" si="48"/>
        <v>309.17921749298733</v>
      </c>
      <c r="AG132">
        <f t="shared" si="49"/>
        <v>136.97154801749039</v>
      </c>
      <c r="AH132">
        <f t="shared" si="50"/>
        <v>142.14980078284356</v>
      </c>
      <c r="AI132">
        <f t="shared" si="51"/>
        <v>121.66331790390311</v>
      </c>
    </row>
    <row r="133" spans="1:35" x14ac:dyDescent="0.35">
      <c r="A133">
        <f t="shared" si="42"/>
        <v>129</v>
      </c>
      <c r="B133" s="1">
        <v>44834</v>
      </c>
      <c r="C133">
        <v>-6.2947018576292701E-2</v>
      </c>
      <c r="D133" s="2">
        <v>-9.0080583391639379E-2</v>
      </c>
      <c r="E133" s="3">
        <v>-3.5204141058589822E-2</v>
      </c>
      <c r="F133" s="3">
        <v>-0.13564095959622646</v>
      </c>
      <c r="G133" s="3">
        <v>-0.12318840245920792</v>
      </c>
      <c r="H133" s="3">
        <v>-0.1157881205201049</v>
      </c>
      <c r="I133" s="3">
        <v>-1.3624728658276242E-2</v>
      </c>
      <c r="J133" s="2">
        <v>-3.4970722860228398E-2</v>
      </c>
      <c r="K133" s="2">
        <v>1.4588127817813934E-3</v>
      </c>
      <c r="Z133" s="1">
        <f t="shared" ref="Z133:Z149" si="52">B133</f>
        <v>44834</v>
      </c>
      <c r="AA133">
        <f t="shared" si="43"/>
        <v>250.70929258607663</v>
      </c>
      <c r="AB133">
        <f t="shared" si="44"/>
        <v>281.64472605239695</v>
      </c>
      <c r="AC133">
        <f t="shared" si="45"/>
        <v>376.46024176031693</v>
      </c>
      <c r="AD133">
        <f t="shared" si="46"/>
        <v>268.63378355038913</v>
      </c>
      <c r="AE133">
        <f t="shared" si="47"/>
        <v>192.6350095999999</v>
      </c>
      <c r="AF133">
        <f t="shared" si="48"/>
        <v>273.37993699559757</v>
      </c>
      <c r="AG133">
        <f t="shared" si="49"/>
        <v>135.10534784184804</v>
      </c>
      <c r="AH133">
        <f t="shared" si="50"/>
        <v>137.17871949503007</v>
      </c>
      <c r="AI133">
        <f t="shared" si="51"/>
        <v>121.84080190713526</v>
      </c>
    </row>
    <row r="134" spans="1:35" x14ac:dyDescent="0.35">
      <c r="A134">
        <f t="shared" ref="A134:A149" si="53">A133+1</f>
        <v>130</v>
      </c>
      <c r="B134" s="1">
        <v>44865</v>
      </c>
      <c r="C134">
        <v>5.9636233521510817E-2</v>
      </c>
      <c r="D134" s="2">
        <v>6.0990572446219637E-2</v>
      </c>
      <c r="E134" s="3">
        <v>6.642375363350439E-2</v>
      </c>
      <c r="F134" s="3">
        <v>9.8735759445614857E-2</v>
      </c>
      <c r="G134" s="3">
        <v>3.2501045438211973E-2</v>
      </c>
      <c r="H134" s="3">
        <v>2.9946376072443437E-2</v>
      </c>
      <c r="I134" s="3">
        <v>9.2673858966618727E-3</v>
      </c>
      <c r="J134" s="2">
        <v>-3.8307180661059093E-3</v>
      </c>
      <c r="K134" s="2">
        <v>2.4245851278708042E-3</v>
      </c>
      <c r="Z134" s="1">
        <f t="shared" si="52"/>
        <v>44865</v>
      </c>
      <c r="AA134">
        <f t="shared" ref="AA134:AA149" si="54">IF($Z134&lt;$B$1,100,AA133*(1+C134))</f>
        <v>265.66065050475265</v>
      </c>
      <c r="AB134">
        <f t="shared" ref="AB134:AB149" si="55">IF($Z134&lt;$B$1,100,AB133*(1+D134))</f>
        <v>298.82239912079137</v>
      </c>
      <c r="AC134">
        <f t="shared" ref="AC134:AC149" si="56">IF($Z134&lt;$B$1,100,AC133*(1+E134))</f>
        <v>401.46614411181372</v>
      </c>
      <c r="AD134">
        <f t="shared" ref="AD134:AD149" si="57">IF($Z134&lt;$B$1,100,AD133*(1+F134))</f>
        <v>295.15754418198571</v>
      </c>
      <c r="AE134">
        <f t="shared" ref="AE134:AE149" si="58">IF($Z134&lt;$B$1,100,AE133*(1+G134))</f>
        <v>198.8958487999999</v>
      </c>
      <c r="AF134">
        <f t="shared" ref="AF134:AF149" si="59">IF($Z134&lt;$B$1,100,AF133*(1+H134))</f>
        <v>281.56667539952861</v>
      </c>
      <c r="AG134">
        <f t="shared" ref="AG134:AG149" si="60">IF($Z134&lt;$B$1,100,AG133*(1+I134))</f>
        <v>136.35742123700118</v>
      </c>
      <c r="AH134">
        <f t="shared" ref="AH134:AH149" si="61">IF($Z134&lt;$B$1,100,AH133*(1+J134))</f>
        <v>136.65322649597519</v>
      </c>
      <c r="AI134">
        <f t="shared" ref="AI134:AI149" si="62">IF($Z134&lt;$B$1,100,AI133*(1+K134))</f>
        <v>122.13621530340716</v>
      </c>
    </row>
    <row r="135" spans="1:35" x14ac:dyDescent="0.35">
      <c r="A135">
        <f t="shared" si="53"/>
        <v>131</v>
      </c>
      <c r="B135" s="1">
        <v>44895</v>
      </c>
      <c r="C135">
        <v>6.4906728075124098E-2</v>
      </c>
      <c r="D135" s="2">
        <v>6.0640593307208501E-2</v>
      </c>
      <c r="E135" s="3">
        <v>2.8293981005028224E-2</v>
      </c>
      <c r="F135" s="3">
        <v>5.8071521049598118E-2</v>
      </c>
      <c r="G135" s="3">
        <v>4.9621089929957396E-2</v>
      </c>
      <c r="H135" s="3">
        <v>6.6327556477641547E-2</v>
      </c>
      <c r="I135" s="3">
        <v>1.5486276808532429E-2</v>
      </c>
      <c r="J135" s="2">
        <v>2.3672713380666899E-2</v>
      </c>
      <c r="K135" s="2">
        <v>2.49107505373658E-3</v>
      </c>
      <c r="Z135" s="1">
        <f t="shared" si="52"/>
        <v>44895</v>
      </c>
      <c r="AA135">
        <f t="shared" si="54"/>
        <v>282.90381410732522</v>
      </c>
      <c r="AB135">
        <f t="shared" si="55"/>
        <v>316.94316669695962</v>
      </c>
      <c r="AC135">
        <f t="shared" si="56"/>
        <v>412.8252195674753</v>
      </c>
      <c r="AD135">
        <f t="shared" si="57"/>
        <v>312.29779172189757</v>
      </c>
      <c r="AE135">
        <f t="shared" si="58"/>
        <v>208.76527759999991</v>
      </c>
      <c r="AF135">
        <f t="shared" si="59"/>
        <v>300.24230496431261</v>
      </c>
      <c r="AG135">
        <f t="shared" si="60"/>
        <v>138.46909000717503</v>
      </c>
      <c r="AH135">
        <f t="shared" si="61"/>
        <v>139.88817915935778</v>
      </c>
      <c r="AI135">
        <f t="shared" si="62"/>
        <v>122.44046578250727</v>
      </c>
    </row>
    <row r="136" spans="1:35" x14ac:dyDescent="0.35">
      <c r="A136">
        <f t="shared" si="53"/>
        <v>132</v>
      </c>
      <c r="B136" s="1">
        <v>44925</v>
      </c>
      <c r="C136">
        <v>-3.2929763165816084E-2</v>
      </c>
      <c r="D136" s="2">
        <v>-4.8418528656476778E-2</v>
      </c>
      <c r="E136" s="3">
        <v>-5.1523751653143712E-2</v>
      </c>
      <c r="F136" s="3">
        <v>-4.0381004921856367E-2</v>
      </c>
      <c r="G136" s="3">
        <v>-3.8151668187181409E-2</v>
      </c>
      <c r="H136" s="3">
        <v>-2.7896853216058504E-2</v>
      </c>
      <c r="I136" s="3">
        <v>-2.0595340688558728E-2</v>
      </c>
      <c r="J136" s="2">
        <v>-1.3065492953478364E-2</v>
      </c>
      <c r="K136" s="2">
        <v>2.4965839839015125E-3</v>
      </c>
      <c r="Z136" s="1">
        <f t="shared" si="52"/>
        <v>44925</v>
      </c>
      <c r="AA136">
        <f t="shared" si="54"/>
        <v>273.58785851006496</v>
      </c>
      <c r="AB136">
        <f t="shared" si="55"/>
        <v>301.59724489776841</v>
      </c>
      <c r="AC136">
        <f t="shared" si="56"/>
        <v>391.55491547832617</v>
      </c>
      <c r="AD136">
        <f t="shared" si="57"/>
        <v>299.68689305729077</v>
      </c>
      <c r="AE136">
        <f t="shared" si="58"/>
        <v>200.80053399999989</v>
      </c>
      <c r="AF136">
        <f t="shared" si="59"/>
        <v>291.86648945347213</v>
      </c>
      <c r="AG136">
        <f t="shared" si="60"/>
        <v>135.61727192364256</v>
      </c>
      <c r="AH136">
        <f t="shared" si="61"/>
        <v>138.06047114027626</v>
      </c>
      <c r="AI136">
        <f t="shared" si="62"/>
        <v>122.74614868836133</v>
      </c>
    </row>
    <row r="137" spans="1:35" x14ac:dyDescent="0.35">
      <c r="A137">
        <f t="shared" si="53"/>
        <v>133</v>
      </c>
      <c r="B137" s="1">
        <v>44957</v>
      </c>
      <c r="C137">
        <v>6.2874226598363281E-2</v>
      </c>
      <c r="D137" s="2">
        <v>6.2372249324194495E-2</v>
      </c>
      <c r="E137" s="3">
        <v>3.0793944619639468E-2</v>
      </c>
      <c r="F137" s="3">
        <v>8.0738884139352152E-2</v>
      </c>
      <c r="G137" s="3">
        <v>8.5821202049193968E-2</v>
      </c>
      <c r="H137" s="3">
        <v>7.1987114523244244E-3</v>
      </c>
      <c r="I137" s="3">
        <v>2.7552798081430074E-2</v>
      </c>
      <c r="J137" s="2">
        <v>2.10037602472124E-2</v>
      </c>
      <c r="K137" s="2">
        <v>2.6583471133789782E-3</v>
      </c>
      <c r="Z137" s="1">
        <f t="shared" si="52"/>
        <v>44957</v>
      </c>
      <c r="AA137">
        <f t="shared" si="54"/>
        <v>290.78948352058774</v>
      </c>
      <c r="AB137">
        <f t="shared" si="55"/>
        <v>320.40854345202217</v>
      </c>
      <c r="AC137">
        <f t="shared" si="56"/>
        <v>403.61243586111334</v>
      </c>
      <c r="AD137">
        <f t="shared" si="57"/>
        <v>323.88327839392582</v>
      </c>
      <c r="AE137">
        <f t="shared" si="58"/>
        <v>218.03347719999991</v>
      </c>
      <c r="AF137">
        <f t="shared" si="59"/>
        <v>293.96755209365057</v>
      </c>
      <c r="AG137">
        <f t="shared" si="60"/>
        <v>139.35390723330909</v>
      </c>
      <c r="AH137">
        <f t="shared" si="61"/>
        <v>140.96026017572382</v>
      </c>
      <c r="AI137">
        <f t="shared" si="62"/>
        <v>123.07245055840542</v>
      </c>
    </row>
    <row r="138" spans="1:35" x14ac:dyDescent="0.35">
      <c r="A138">
        <f t="shared" si="53"/>
        <v>134</v>
      </c>
      <c r="B138" s="1">
        <v>44985</v>
      </c>
      <c r="C138">
        <v>-2.5489362153981454E-2</v>
      </c>
      <c r="D138" s="2">
        <v>-2.0004309084473482E-2</v>
      </c>
      <c r="E138" s="3">
        <v>1.5983824116514667E-2</v>
      </c>
      <c r="F138" s="3">
        <v>-3.6047002923247362E-3</v>
      </c>
      <c r="G138" s="3">
        <v>-4.049420718957375E-2</v>
      </c>
      <c r="H138" s="3">
        <v>-4.5918664563708633E-2</v>
      </c>
      <c r="I138" s="3">
        <v>-1.3232801025167995E-2</v>
      </c>
      <c r="J138" s="2">
        <v>-1.7973967646776834E-2</v>
      </c>
      <c r="K138" s="2">
        <v>2.4019062565627802E-3</v>
      </c>
      <c r="Z138" s="1">
        <f t="shared" si="52"/>
        <v>44985</v>
      </c>
      <c r="AA138">
        <f t="shared" si="54"/>
        <v>283.37744506456227</v>
      </c>
      <c r="AB138">
        <f t="shared" si="55"/>
        <v>313.99899191550196</v>
      </c>
      <c r="AC138">
        <f t="shared" si="56"/>
        <v>410.06370604715545</v>
      </c>
      <c r="AD138">
        <f t="shared" si="57"/>
        <v>322.71577624562013</v>
      </c>
      <c r="AE138">
        <f t="shared" si="58"/>
        <v>209.2043843999999</v>
      </c>
      <c r="AF138">
        <f t="shared" si="59"/>
        <v>280.46895467644771</v>
      </c>
      <c r="AG138">
        <f t="shared" si="60"/>
        <v>137.50986470681099</v>
      </c>
      <c r="AH138">
        <f t="shared" si="61"/>
        <v>138.4266450198441</v>
      </c>
      <c r="AI138">
        <f t="shared" si="62"/>
        <v>123.36805904741217</v>
      </c>
    </row>
    <row r="139" spans="1:35" x14ac:dyDescent="0.35">
      <c r="A139">
        <f t="shared" si="53"/>
        <v>135</v>
      </c>
      <c r="B139" s="1">
        <v>45016</v>
      </c>
      <c r="C139">
        <v>-2.3609425051317467E-3</v>
      </c>
      <c r="D139" s="2">
        <v>2.5091105187664331E-2</v>
      </c>
      <c r="E139" s="3">
        <v>3.9046385755184598E-2</v>
      </c>
      <c r="F139" s="3">
        <v>-6.8362289599876447E-2</v>
      </c>
      <c r="G139" s="3">
        <v>-3.8874594446597133E-2</v>
      </c>
      <c r="H139" s="3">
        <v>2.2656920137927861E-2</v>
      </c>
      <c r="I139" s="3">
        <v>3.1579933197831256E-2</v>
      </c>
      <c r="J139" s="2">
        <v>2.1113255916193063E-2</v>
      </c>
      <c r="K139" s="2">
        <v>2.839437214427587E-3</v>
      </c>
      <c r="Z139" s="1">
        <f t="shared" si="52"/>
        <v>45016</v>
      </c>
      <c r="AA139">
        <f t="shared" si="54"/>
        <v>282.70840720951372</v>
      </c>
      <c r="AB139">
        <f t="shared" si="55"/>
        <v>321.8775736504744</v>
      </c>
      <c r="AC139">
        <f t="shared" si="56"/>
        <v>426.0752116976733</v>
      </c>
      <c r="AD139">
        <f t="shared" si="57"/>
        <v>300.6541868914681</v>
      </c>
      <c r="AE139">
        <f t="shared" si="58"/>
        <v>201.07164879999988</v>
      </c>
      <c r="AF139">
        <f t="shared" si="59"/>
        <v>286.82351738372012</v>
      </c>
      <c r="AG139">
        <f t="shared" si="60"/>
        <v>141.85241704829488</v>
      </c>
      <c r="AH139">
        <f t="shared" si="61"/>
        <v>141.34928220176809</v>
      </c>
      <c r="AI139">
        <f t="shared" si="62"/>
        <v>123.71835490534309</v>
      </c>
    </row>
    <row r="140" spans="1:35" x14ac:dyDescent="0.35">
      <c r="A140">
        <f t="shared" si="53"/>
        <v>136</v>
      </c>
      <c r="B140" s="1">
        <v>45044</v>
      </c>
      <c r="C140">
        <v>1.8475004736738576E-2</v>
      </c>
      <c r="D140" s="2">
        <v>1.3634528099671472E-2</v>
      </c>
      <c r="E140" s="3">
        <v>2.853684924555111E-2</v>
      </c>
      <c r="F140" s="3">
        <v>5.1556225164979486E-2</v>
      </c>
      <c r="G140" s="3">
        <v>1.7282424552336861E-2</v>
      </c>
      <c r="H140" s="3">
        <v>1.7023406766588645E-2</v>
      </c>
      <c r="I140" s="3">
        <v>1.9296515755169441E-3</v>
      </c>
      <c r="J140" s="2">
        <v>4.0808293128407058E-3</v>
      </c>
      <c r="K140" s="2">
        <v>3.0449690553149278E-3</v>
      </c>
      <c r="Z140" s="1">
        <f t="shared" si="52"/>
        <v>45044</v>
      </c>
      <c r="AA140">
        <f t="shared" si="54"/>
        <v>287.9314463718253</v>
      </c>
      <c r="AB140">
        <f t="shared" si="55"/>
        <v>326.26622247306585</v>
      </c>
      <c r="AC140">
        <f t="shared" si="56"/>
        <v>438.23405578115609</v>
      </c>
      <c r="AD140">
        <f t="shared" si="57"/>
        <v>316.15478184763845</v>
      </c>
      <c r="AE140">
        <f t="shared" si="58"/>
        <v>204.54665439999985</v>
      </c>
      <c r="AF140">
        <f t="shared" si="59"/>
        <v>291.70623079036687</v>
      </c>
      <c r="AG140">
        <f t="shared" si="60"/>
        <v>142.126142788343</v>
      </c>
      <c r="AH140">
        <f t="shared" si="61"/>
        <v>141.92610449592607</v>
      </c>
      <c r="AI140">
        <f t="shared" si="62"/>
        <v>124.09507346760434</v>
      </c>
    </row>
    <row r="141" spans="1:35" x14ac:dyDescent="0.35">
      <c r="A141">
        <f t="shared" si="53"/>
        <v>137</v>
      </c>
      <c r="B141" s="1">
        <v>45077</v>
      </c>
      <c r="C141">
        <v>-2.5312284709329225E-2</v>
      </c>
      <c r="D141" s="2">
        <v>-2.8509705904490312E-3</v>
      </c>
      <c r="E141" s="3">
        <v>1.1295574568076949E-2</v>
      </c>
      <c r="F141" s="3">
        <v>-1.8124084524767214E-2</v>
      </c>
      <c r="G141" s="3">
        <v>-3.8661951344045042E-2</v>
      </c>
      <c r="H141" s="3">
        <v>-5.1561899316884596E-2</v>
      </c>
      <c r="I141" s="3">
        <v>-1.2052400325633483E-2</v>
      </c>
      <c r="J141" s="2">
        <v>-5.4402203506421776E-3</v>
      </c>
      <c r="K141" s="2">
        <v>2.9480773357508649E-3</v>
      </c>
      <c r="Z141" s="1">
        <f t="shared" si="52"/>
        <v>45077</v>
      </c>
      <c r="AA141">
        <f t="shared" si="54"/>
        <v>280.6432436244927</v>
      </c>
      <c r="AB141">
        <f t="shared" si="55"/>
        <v>325.33604706813821</v>
      </c>
      <c r="AC141">
        <f t="shared" si="56"/>
        <v>443.18416123650292</v>
      </c>
      <c r="AD141">
        <f t="shared" si="57"/>
        <v>310.42476585852251</v>
      </c>
      <c r="AE141">
        <f t="shared" si="58"/>
        <v>196.63848159999986</v>
      </c>
      <c r="AF141">
        <f t="shared" si="59"/>
        <v>276.66530348824608</v>
      </c>
      <c r="AG141">
        <f t="shared" si="60"/>
        <v>140.41318161871973</v>
      </c>
      <c r="AH141">
        <f t="shared" si="61"/>
        <v>141.15399521395997</v>
      </c>
      <c r="AI141">
        <f t="shared" si="62"/>
        <v>124.46091534117252</v>
      </c>
    </row>
    <row r="142" spans="1:35" x14ac:dyDescent="0.35">
      <c r="A142">
        <f t="shared" si="53"/>
        <v>138</v>
      </c>
      <c r="B142" s="1">
        <v>45107</v>
      </c>
      <c r="C142">
        <v>1.7316255965940996E-2</v>
      </c>
      <c r="D142" s="2">
        <v>5.3460304372801248E-2</v>
      </c>
      <c r="E142" s="3">
        <v>2.8956339416873256E-2</v>
      </c>
      <c r="F142" s="3">
        <v>-9.3696031981582717E-4</v>
      </c>
      <c r="G142" s="3">
        <v>3.0821360858189095E-2</v>
      </c>
      <c r="H142" s="3">
        <v>2.8206846202152525E-2</v>
      </c>
      <c r="I142" s="3">
        <v>-1.9541347526082276E-2</v>
      </c>
      <c r="J142" s="2">
        <v>-1.6438134150118522E-3</v>
      </c>
      <c r="K142" s="2">
        <v>3.0102202793516053E-3</v>
      </c>
      <c r="Z142" s="1">
        <f t="shared" si="52"/>
        <v>45107</v>
      </c>
      <c r="AA142">
        <f t="shared" si="54"/>
        <v>285.50293386620638</v>
      </c>
      <c r="AB142">
        <f t="shared" si="55"/>
        <v>342.72861116784486</v>
      </c>
      <c r="AC142">
        <f t="shared" si="56"/>
        <v>456.01715223344939</v>
      </c>
      <c r="AD142">
        <f t="shared" si="57"/>
        <v>310.13391017062497</v>
      </c>
      <c r="AE142">
        <f t="shared" si="58"/>
        <v>202.69914719999983</v>
      </c>
      <c r="AF142">
        <f t="shared" si="59"/>
        <v>284.46915915321091</v>
      </c>
      <c r="AG142">
        <f t="shared" si="60"/>
        <v>137.66931883946543</v>
      </c>
      <c r="AH142">
        <f t="shared" si="61"/>
        <v>140.92196438304475</v>
      </c>
      <c r="AI142">
        <f t="shared" si="62"/>
        <v>124.83557011251918</v>
      </c>
    </row>
    <row r="143" spans="1:35" x14ac:dyDescent="0.35">
      <c r="A143">
        <f t="shared" si="53"/>
        <v>139</v>
      </c>
      <c r="B143" s="1">
        <v>45138</v>
      </c>
      <c r="C143">
        <v>2.8944736226748091E-2</v>
      </c>
      <c r="D143" s="2">
        <v>3.1041275570630855E-2</v>
      </c>
      <c r="E143" s="3">
        <v>2.4050099069918396E-2</v>
      </c>
      <c r="F143" s="3">
        <v>3.892151585537329E-2</v>
      </c>
      <c r="G143" s="3">
        <v>3.1889866776903641E-2</v>
      </c>
      <c r="H143" s="3">
        <v>1.6340596744235159E-2</v>
      </c>
      <c r="I143" s="3">
        <v>5.1907678852931571E-3</v>
      </c>
      <c r="J143" s="2">
        <v>-4.2817473363221392E-4</v>
      </c>
      <c r="K143" s="2">
        <v>3.7329703504040967E-3</v>
      </c>
      <c r="Z143" s="1">
        <f t="shared" si="52"/>
        <v>45138</v>
      </c>
      <c r="AA143">
        <f t="shared" si="54"/>
        <v>293.76674097892641</v>
      </c>
      <c r="AB143">
        <f t="shared" si="55"/>
        <v>353.3673444330455</v>
      </c>
      <c r="AC143">
        <f t="shared" si="56"/>
        <v>466.9844099222459</v>
      </c>
      <c r="AD143">
        <f t="shared" si="57"/>
        <v>322.20479207261985</v>
      </c>
      <c r="AE143">
        <f t="shared" si="58"/>
        <v>209.1631959999998</v>
      </c>
      <c r="AF143">
        <f t="shared" si="59"/>
        <v>289.11755496910519</v>
      </c>
      <c r="AG143">
        <f t="shared" si="60"/>
        <v>138.38392831848751</v>
      </c>
      <c r="AH143">
        <f t="shared" si="61"/>
        <v>140.86162515848213</v>
      </c>
      <c r="AI143">
        <f t="shared" si="62"/>
        <v>125.301577594425</v>
      </c>
    </row>
    <row r="144" spans="1:35" x14ac:dyDescent="0.35">
      <c r="A144">
        <f t="shared" si="53"/>
        <v>140</v>
      </c>
      <c r="B144" s="1">
        <v>45169</v>
      </c>
      <c r="C144">
        <v>-7.637697571251767E-3</v>
      </c>
      <c r="D144" s="2">
        <v>-2.1657741101203221E-2</v>
      </c>
      <c r="E144" s="3">
        <v>1.1867872230257426E-2</v>
      </c>
      <c r="F144" s="3">
        <v>2.1767179541988479E-2</v>
      </c>
      <c r="G144" s="3">
        <v>-2.8792885723547657E-2</v>
      </c>
      <c r="H144" s="3">
        <v>-4.8292413721159555E-2</v>
      </c>
      <c r="I144" s="3">
        <v>7.3956814935416393E-3</v>
      </c>
      <c r="J144" s="2">
        <v>-2.6653282387379962E-3</v>
      </c>
      <c r="K144" s="2">
        <v>3.6535232226799774E-3</v>
      </c>
      <c r="Z144" s="1">
        <f t="shared" si="52"/>
        <v>45169</v>
      </c>
      <c r="AA144">
        <f t="shared" si="54"/>
        <v>291.52303945483709</v>
      </c>
      <c r="AB144">
        <f t="shared" si="55"/>
        <v>345.7142059736949</v>
      </c>
      <c r="AC144">
        <f t="shared" si="56"/>
        <v>472.52652123272526</v>
      </c>
      <c r="AD144">
        <f t="shared" si="57"/>
        <v>329.21828163095364</v>
      </c>
      <c r="AE144">
        <f t="shared" si="58"/>
        <v>203.1407839999998</v>
      </c>
      <c r="AF144">
        <f t="shared" si="59"/>
        <v>275.15537039048706</v>
      </c>
      <c r="AG144">
        <f t="shared" si="60"/>
        <v>139.40737177615614</v>
      </c>
      <c r="AH144">
        <f t="shared" si="61"/>
        <v>140.48618269119271</v>
      </c>
      <c r="AI144">
        <f t="shared" si="62"/>
        <v>125.75936981800467</v>
      </c>
    </row>
    <row r="145" spans="1:35" x14ac:dyDescent="0.35">
      <c r="A145">
        <f t="shared" si="53"/>
        <v>141</v>
      </c>
      <c r="B145" s="1">
        <v>45198</v>
      </c>
      <c r="C145">
        <v>-2.9746000000000002E-2</v>
      </c>
      <c r="D145" s="2">
        <v>-3.6853999999999998E-2</v>
      </c>
      <c r="E145">
        <v>-3.9591000000000001E-2</v>
      </c>
      <c r="F145">
        <v>-9.4834000000000002E-2</v>
      </c>
      <c r="G145">
        <v>-6.2269999999999999E-2</v>
      </c>
      <c r="H145">
        <v>-5.1132999999999998E-2</v>
      </c>
      <c r="I145">
        <v>-1.5491E-2</v>
      </c>
      <c r="J145">
        <v>-1.8738999999999999E-2</v>
      </c>
      <c r="K145">
        <v>3.3630000000000001E-3</v>
      </c>
      <c r="Z145" s="1">
        <f t="shared" si="52"/>
        <v>45198</v>
      </c>
      <c r="AA145">
        <f t="shared" si="54"/>
        <v>282.85139512321348</v>
      </c>
      <c r="AB145">
        <f t="shared" si="55"/>
        <v>332.97325462674036</v>
      </c>
      <c r="AC145">
        <f t="shared" si="56"/>
        <v>453.81872373060042</v>
      </c>
      <c r="AD145">
        <f t="shared" si="57"/>
        <v>297.99719511076381</v>
      </c>
      <c r="AE145">
        <f t="shared" si="58"/>
        <v>190.49120738031979</v>
      </c>
      <c r="AF145">
        <f t="shared" si="59"/>
        <v>261.08585083631027</v>
      </c>
      <c r="AG145">
        <f t="shared" si="60"/>
        <v>137.2478121799717</v>
      </c>
      <c r="AH145">
        <f t="shared" si="61"/>
        <v>137.85361211374246</v>
      </c>
      <c r="AI145">
        <f t="shared" si="62"/>
        <v>126.18229857870263</v>
      </c>
    </row>
    <row r="146" spans="1:35" x14ac:dyDescent="0.35">
      <c r="A146">
        <f t="shared" si="53"/>
        <v>142</v>
      </c>
      <c r="B146" s="1">
        <v>45230</v>
      </c>
      <c r="C146">
        <v>-3.9513E-2</v>
      </c>
      <c r="D146" s="2">
        <v>-2.8910999999999999E-2</v>
      </c>
      <c r="E146">
        <v>-1.0919E-2</v>
      </c>
      <c r="F146">
        <v>-6.0666999999999999E-2</v>
      </c>
      <c r="G146">
        <v>-4.7425000000000002E-2</v>
      </c>
      <c r="H146">
        <v>2.542E-3</v>
      </c>
      <c r="I146">
        <v>-1.8839999999999999E-2</v>
      </c>
      <c r="J146">
        <v>-8.4139999999999996E-3</v>
      </c>
      <c r="K146">
        <v>3.336E-3</v>
      </c>
      <c r="Z146" s="1">
        <f t="shared" si="52"/>
        <v>45230</v>
      </c>
      <c r="AA146">
        <f t="shared" si="54"/>
        <v>271.67508794770993</v>
      </c>
      <c r="AB146">
        <f t="shared" si="55"/>
        <v>323.34666486222665</v>
      </c>
      <c r="AC146">
        <f t="shared" si="56"/>
        <v>448.86347708618598</v>
      </c>
      <c r="AD146">
        <f t="shared" si="57"/>
        <v>279.9185992749791</v>
      </c>
      <c r="AE146">
        <f t="shared" si="58"/>
        <v>181.45716187030811</v>
      </c>
      <c r="AF146">
        <f t="shared" si="59"/>
        <v>261.7495310691362</v>
      </c>
      <c r="AG146">
        <f t="shared" si="60"/>
        <v>134.66206339850103</v>
      </c>
      <c r="AH146">
        <f t="shared" si="61"/>
        <v>136.69371182141742</v>
      </c>
      <c r="AI146">
        <f t="shared" si="62"/>
        <v>126.60324272676118</v>
      </c>
    </row>
    <row r="147" spans="1:35" x14ac:dyDescent="0.35">
      <c r="A147">
        <f t="shared" si="53"/>
        <v>143</v>
      </c>
      <c r="B147" s="1">
        <v>45260</v>
      </c>
      <c r="C147">
        <v>4.8196999999999997E-2</v>
      </c>
      <c r="D147" s="2">
        <v>7.2313000000000002E-2</v>
      </c>
      <c r="E147">
        <v>4.1369000000000003E-2</v>
      </c>
      <c r="F147">
        <v>9.8507999999999998E-2</v>
      </c>
      <c r="G147">
        <v>8.6054000000000005E-2</v>
      </c>
      <c r="H147">
        <v>6.0497000000000002E-2</v>
      </c>
      <c r="I147">
        <v>2.8881E-2</v>
      </c>
      <c r="J147">
        <v>3.1016999999999999E-2</v>
      </c>
      <c r="K147">
        <v>3.4870000000000001E-3</v>
      </c>
      <c r="Z147" s="1">
        <f t="shared" si="52"/>
        <v>45260</v>
      </c>
      <c r="AA147">
        <f t="shared" si="54"/>
        <v>284.76901216152572</v>
      </c>
      <c r="AB147">
        <f t="shared" si="55"/>
        <v>346.72883223840887</v>
      </c>
      <c r="AC147">
        <f t="shared" si="56"/>
        <v>467.43251026976441</v>
      </c>
      <c r="AD147">
        <f t="shared" si="57"/>
        <v>307.49282065235877</v>
      </c>
      <c r="AE147">
        <f t="shared" si="58"/>
        <v>197.07227647789563</v>
      </c>
      <c r="AF147">
        <f t="shared" si="59"/>
        <v>277.58459245022573</v>
      </c>
      <c r="AG147">
        <f t="shared" si="60"/>
        <v>138.55123845151314</v>
      </c>
      <c r="AH147">
        <f t="shared" si="61"/>
        <v>140.93354068098233</v>
      </c>
      <c r="AI147">
        <f t="shared" si="62"/>
        <v>127.0447082341494</v>
      </c>
    </row>
    <row r="148" spans="1:35" x14ac:dyDescent="0.35">
      <c r="A148">
        <f t="shared" si="53"/>
        <v>144</v>
      </c>
      <c r="B148" s="1">
        <v>45289</v>
      </c>
      <c r="C148">
        <v>6.7308999999999994E-2</v>
      </c>
      <c r="D148" s="2">
        <v>3.7021999999999999E-2</v>
      </c>
      <c r="E148">
        <v>1.7250000000000001E-2</v>
      </c>
      <c r="F148">
        <v>0.10233299999999999</v>
      </c>
      <c r="G148">
        <v>7.9905000000000004E-2</v>
      </c>
      <c r="H148">
        <v>2.6915999999999999E-2</v>
      </c>
      <c r="I148">
        <v>2.6168E-2</v>
      </c>
      <c r="J148">
        <v>2.928E-2</v>
      </c>
      <c r="K148">
        <v>3.6770000000000001E-3</v>
      </c>
      <c r="Z148" s="1">
        <f t="shared" si="52"/>
        <v>45289</v>
      </c>
      <c r="AA148">
        <f t="shared" si="54"/>
        <v>303.93652960110586</v>
      </c>
      <c r="AB148">
        <f t="shared" si="55"/>
        <v>359.56542706553921</v>
      </c>
      <c r="AC148">
        <f t="shared" si="56"/>
        <v>475.49572107191784</v>
      </c>
      <c r="AD148">
        <f t="shared" si="57"/>
        <v>338.95948346817659</v>
      </c>
      <c r="AE148">
        <f t="shared" si="58"/>
        <v>212.8193367298619</v>
      </c>
      <c r="AF148">
        <f t="shared" si="59"/>
        <v>285.056059340616</v>
      </c>
      <c r="AG148">
        <f t="shared" si="60"/>
        <v>142.17684725931232</v>
      </c>
      <c r="AH148">
        <f t="shared" si="61"/>
        <v>145.06007475212149</v>
      </c>
      <c r="AI148">
        <f t="shared" si="62"/>
        <v>127.51185162632636</v>
      </c>
    </row>
    <row r="149" spans="1:35" x14ac:dyDescent="0.35">
      <c r="A149">
        <f t="shared" si="53"/>
        <v>145</v>
      </c>
      <c r="B149" s="1">
        <v>45322</v>
      </c>
      <c r="C149">
        <v>1.0884E-2</v>
      </c>
      <c r="D149" s="2">
        <v>1.1821999999999999E-2</v>
      </c>
      <c r="E149">
        <v>3.7345999999999997E-2</v>
      </c>
      <c r="F149">
        <v>1.1997000000000001E-2</v>
      </c>
      <c r="G149">
        <v>-4.0863999999999998E-2</v>
      </c>
      <c r="H149">
        <v>-2.1786E-2</v>
      </c>
      <c r="I149">
        <v>2.0600000000000002E-3</v>
      </c>
      <c r="J149">
        <v>-3.1380000000000002E-3</v>
      </c>
      <c r="K149">
        <v>3.6830000000000001E-3</v>
      </c>
      <c r="Z149" s="1">
        <f t="shared" si="52"/>
        <v>45322</v>
      </c>
      <c r="AA149">
        <f t="shared" si="54"/>
        <v>307.24457478928429</v>
      </c>
      <c r="AB149">
        <f t="shared" si="55"/>
        <v>363.81620954430804</v>
      </c>
      <c r="AC149">
        <f t="shared" si="56"/>
        <v>493.25358427106971</v>
      </c>
      <c r="AD149">
        <f t="shared" si="57"/>
        <v>343.02598039134432</v>
      </c>
      <c r="AE149">
        <f t="shared" si="58"/>
        <v>204.12268735373283</v>
      </c>
      <c r="AF149">
        <f t="shared" si="59"/>
        <v>278.84582803182133</v>
      </c>
      <c r="AG149">
        <f t="shared" si="60"/>
        <v>142.46973156466649</v>
      </c>
      <c r="AH149">
        <f t="shared" si="61"/>
        <v>144.60487623754935</v>
      </c>
      <c r="AI149">
        <f t="shared" si="62"/>
        <v>127.98147777586614</v>
      </c>
    </row>
    <row r="150" spans="1:35" x14ac:dyDescent="0.35">
      <c r="D150" s="2"/>
      <c r="E150" s="3"/>
      <c r="F150" s="3"/>
      <c r="G150" s="3"/>
      <c r="H150" s="3"/>
      <c r="I150" s="3"/>
      <c r="J150" s="2"/>
      <c r="K150" s="2"/>
      <c r="Z150" s="1"/>
    </row>
    <row r="151" spans="1:35" x14ac:dyDescent="0.35">
      <c r="D151" s="2"/>
      <c r="E151" s="3"/>
      <c r="F151" s="3"/>
      <c r="G151" s="3"/>
      <c r="H151" s="3"/>
      <c r="I151" s="3"/>
      <c r="J151" s="2"/>
      <c r="K151" s="2"/>
      <c r="Z151" s="1"/>
    </row>
    <row r="152" spans="1:35" x14ac:dyDescent="0.35">
      <c r="D152" s="2"/>
      <c r="E152" s="3"/>
      <c r="F152" s="3"/>
      <c r="G152" s="3"/>
      <c r="H152" s="3"/>
      <c r="I152" s="3"/>
      <c r="J152" s="2"/>
      <c r="K152" s="2"/>
      <c r="Z152" s="1"/>
    </row>
    <row r="153" spans="1:35" x14ac:dyDescent="0.35">
      <c r="D153" s="2"/>
      <c r="E153" s="3"/>
      <c r="F153" s="3"/>
      <c r="G153" s="3"/>
      <c r="H153" s="3"/>
      <c r="I153" s="3"/>
      <c r="J153" s="2"/>
      <c r="K153" s="2"/>
      <c r="Z153" s="1"/>
    </row>
    <row r="154" spans="1:35" x14ac:dyDescent="0.35">
      <c r="D154" s="2"/>
      <c r="E154" s="3"/>
      <c r="F154" s="3"/>
      <c r="G154" s="3"/>
      <c r="H154" s="3"/>
      <c r="I154" s="3"/>
      <c r="J154" s="2"/>
      <c r="K154" s="2"/>
      <c r="Z154" s="1"/>
    </row>
    <row r="155" spans="1:35" x14ac:dyDescent="0.35">
      <c r="D155" s="2"/>
      <c r="E155" s="3"/>
      <c r="F155" s="3"/>
      <c r="G155" s="3"/>
      <c r="H155" s="3"/>
      <c r="I155" s="3"/>
      <c r="J155" s="2"/>
      <c r="K155" s="2"/>
      <c r="Z155" s="1"/>
    </row>
    <row r="156" spans="1:35" x14ac:dyDescent="0.35">
      <c r="D156" s="2"/>
      <c r="E156" s="3"/>
      <c r="F156" s="3"/>
      <c r="G156" s="3"/>
      <c r="H156" s="3"/>
      <c r="I156" s="3"/>
      <c r="J156" s="2"/>
      <c r="K156" s="2"/>
      <c r="Z156" s="1"/>
    </row>
    <row r="157" spans="1:35" x14ac:dyDescent="0.35">
      <c r="D157" s="2"/>
      <c r="E157" s="3"/>
      <c r="F157" s="3"/>
      <c r="G157" s="3"/>
      <c r="H157" s="3"/>
      <c r="I157" s="3"/>
      <c r="J157" s="2"/>
      <c r="K157" s="2"/>
      <c r="Z157" s="1"/>
    </row>
    <row r="158" spans="1:35" x14ac:dyDescent="0.35">
      <c r="D158" s="2"/>
      <c r="E158" s="3"/>
      <c r="F158" s="3"/>
      <c r="G158" s="3"/>
      <c r="H158" s="3"/>
      <c r="I158" s="3"/>
      <c r="J158" s="2"/>
      <c r="K158" s="2"/>
      <c r="Z158" s="1"/>
    </row>
    <row r="159" spans="1:35" x14ac:dyDescent="0.35">
      <c r="D159" s="2"/>
      <c r="E159" s="3"/>
      <c r="F159" s="3"/>
      <c r="G159" s="3"/>
      <c r="H159" s="3"/>
      <c r="I159" s="3"/>
      <c r="J159" s="2"/>
      <c r="K159" s="2"/>
      <c r="Z159" s="1"/>
    </row>
    <row r="160" spans="1:35" x14ac:dyDescent="0.35">
      <c r="D160" s="2"/>
      <c r="E160" s="3"/>
      <c r="F160" s="3"/>
      <c r="G160" s="3"/>
      <c r="H160" s="3"/>
      <c r="I160" s="3"/>
      <c r="J160" s="2"/>
      <c r="K160" s="2"/>
      <c r="Z160" s="1"/>
    </row>
    <row r="161" spans="4:26" x14ac:dyDescent="0.35">
      <c r="D161" s="2"/>
      <c r="E161" s="3"/>
      <c r="F161" s="3"/>
      <c r="G161" s="3"/>
      <c r="H161" s="3"/>
      <c r="I161" s="3"/>
      <c r="J161" s="2"/>
      <c r="K161" s="2"/>
      <c r="Z161" s="1"/>
    </row>
    <row r="162" spans="4:26" x14ac:dyDescent="0.35">
      <c r="D162" s="2"/>
      <c r="E162" s="3"/>
      <c r="F162" s="3"/>
      <c r="G162" s="3"/>
      <c r="H162" s="3"/>
      <c r="I162" s="3"/>
      <c r="J162" s="2"/>
      <c r="K162" s="2"/>
      <c r="Z162" s="1"/>
    </row>
    <row r="163" spans="4:26" x14ac:dyDescent="0.35">
      <c r="D163" s="2"/>
      <c r="E163" s="3"/>
      <c r="F163" s="3"/>
      <c r="G163" s="3"/>
      <c r="H163" s="3"/>
      <c r="I163" s="3"/>
      <c r="J163" s="2"/>
      <c r="K163" s="2"/>
      <c r="Z163" s="1"/>
    </row>
    <row r="164" spans="4:26" x14ac:dyDescent="0.35">
      <c r="D164" s="2"/>
      <c r="E164" s="3"/>
      <c r="F164" s="3"/>
      <c r="G164" s="3"/>
      <c r="H164" s="3"/>
      <c r="I164" s="3"/>
      <c r="J164" s="2"/>
      <c r="K164" s="2"/>
      <c r="Z164" s="1"/>
    </row>
    <row r="165" spans="4:26" x14ac:dyDescent="0.35">
      <c r="D165" s="2"/>
      <c r="E165" s="3"/>
      <c r="F165" s="3"/>
      <c r="G165" s="3"/>
      <c r="H165" s="3"/>
      <c r="I165" s="3"/>
      <c r="J165" s="2"/>
      <c r="K165" s="2"/>
      <c r="Z165" s="1"/>
    </row>
    <row r="166" spans="4:26" x14ac:dyDescent="0.35">
      <c r="D166" s="2"/>
      <c r="E166" s="3"/>
      <c r="F166" s="3"/>
      <c r="G166" s="3"/>
      <c r="H166" s="3"/>
      <c r="I166" s="3"/>
      <c r="J166" s="2"/>
      <c r="K166" s="2"/>
      <c r="Z166" s="1"/>
    </row>
    <row r="167" spans="4:26" x14ac:dyDescent="0.35">
      <c r="D167" s="2"/>
      <c r="E167" s="3"/>
      <c r="F167" s="3"/>
      <c r="G167" s="3"/>
      <c r="H167" s="3"/>
      <c r="I167" s="3"/>
      <c r="J167" s="2"/>
      <c r="K167" s="2"/>
      <c r="Z167" s="1"/>
    </row>
    <row r="168" spans="4:26" x14ac:dyDescent="0.35">
      <c r="D168" s="2"/>
      <c r="E168" s="3"/>
      <c r="F168" s="3"/>
      <c r="G168" s="3"/>
      <c r="H168" s="3"/>
      <c r="I168" s="3"/>
      <c r="J168" s="2"/>
      <c r="K168" s="2"/>
      <c r="Z168" s="1"/>
    </row>
    <row r="169" spans="4:26" x14ac:dyDescent="0.35">
      <c r="D169" s="2"/>
      <c r="E169" s="3"/>
      <c r="F169" s="3"/>
      <c r="G169" s="3"/>
      <c r="H169" s="3"/>
      <c r="I169" s="3"/>
      <c r="J169" s="2"/>
      <c r="K169" s="2"/>
      <c r="Z169" s="1"/>
    </row>
    <row r="170" spans="4:26" x14ac:dyDescent="0.35">
      <c r="D170" s="2"/>
      <c r="E170" s="3"/>
      <c r="F170" s="3"/>
      <c r="G170" s="3"/>
      <c r="H170" s="3"/>
      <c r="I170" s="3"/>
      <c r="J170" s="2"/>
      <c r="K170" s="2"/>
      <c r="Z170" s="1"/>
    </row>
    <row r="171" spans="4:26" x14ac:dyDescent="0.35">
      <c r="D171" s="2"/>
      <c r="E171" s="3"/>
      <c r="F171" s="3"/>
      <c r="G171" s="3"/>
      <c r="H171" s="3"/>
      <c r="I171" s="3"/>
      <c r="J171" s="2"/>
      <c r="K171" s="2"/>
      <c r="Z171" s="1"/>
    </row>
    <row r="172" spans="4:26" x14ac:dyDescent="0.35">
      <c r="D172" s="2"/>
      <c r="E172" s="3"/>
      <c r="F172" s="3"/>
      <c r="G172" s="3"/>
      <c r="H172" s="3"/>
      <c r="I172" s="3"/>
      <c r="J172" s="2"/>
      <c r="K172" s="2"/>
      <c r="Z172" s="1"/>
    </row>
    <row r="173" spans="4:26" x14ac:dyDescent="0.35">
      <c r="D173" s="2"/>
      <c r="E173" s="3"/>
      <c r="F173" s="3"/>
      <c r="G173" s="3"/>
      <c r="H173" s="3"/>
      <c r="I173" s="3"/>
      <c r="J173" s="2"/>
      <c r="K173" s="2"/>
      <c r="Z173" s="1"/>
    </row>
    <row r="174" spans="4:26" x14ac:dyDescent="0.35">
      <c r="D174" s="2"/>
      <c r="E174" s="3"/>
      <c r="F174" s="3"/>
      <c r="G174" s="3"/>
      <c r="H174" s="3"/>
      <c r="I174" s="3"/>
      <c r="J174" s="2"/>
      <c r="K174" s="2"/>
      <c r="Z174" s="1"/>
    </row>
    <row r="175" spans="4:26" x14ac:dyDescent="0.35">
      <c r="D175" s="2"/>
      <c r="E175" s="3"/>
      <c r="F175" s="3"/>
      <c r="G175" s="3"/>
      <c r="H175" s="3"/>
      <c r="I175" s="3"/>
      <c r="J175" s="2"/>
      <c r="K175" s="2"/>
      <c r="Z175" s="1"/>
    </row>
    <row r="176" spans="4:26" x14ac:dyDescent="0.35">
      <c r="D176" s="2"/>
      <c r="E176" s="3"/>
      <c r="F176" s="3"/>
      <c r="G176" s="3"/>
      <c r="H176" s="3"/>
      <c r="I176" s="3"/>
      <c r="J176" s="2"/>
      <c r="K176" s="2"/>
      <c r="Z176" s="1"/>
    </row>
    <row r="177" spans="4:26" x14ac:dyDescent="0.35">
      <c r="D177" s="2"/>
      <c r="E177" s="3"/>
      <c r="F177" s="3"/>
      <c r="G177" s="3"/>
      <c r="H177" s="3"/>
      <c r="I177" s="3"/>
      <c r="J177" s="2"/>
      <c r="K177" s="2"/>
      <c r="Z177" s="1"/>
    </row>
    <row r="178" spans="4:26" x14ac:dyDescent="0.35">
      <c r="D178" s="2"/>
      <c r="E178" s="3"/>
      <c r="F178" s="3"/>
      <c r="G178" s="3"/>
      <c r="H178" s="3"/>
      <c r="I178" s="3"/>
      <c r="J178" s="2"/>
      <c r="K178" s="2"/>
      <c r="Z178" s="1"/>
    </row>
    <row r="179" spans="4:26" x14ac:dyDescent="0.35">
      <c r="D179" s="2"/>
      <c r="E179" s="3"/>
      <c r="F179" s="3"/>
      <c r="G179" s="3"/>
      <c r="H179" s="3"/>
      <c r="I179" s="3"/>
      <c r="J179" s="2"/>
      <c r="K179" s="2"/>
      <c r="Z179" s="1"/>
    </row>
    <row r="180" spans="4:26" x14ac:dyDescent="0.35">
      <c r="D180" s="2"/>
      <c r="E180" s="3"/>
      <c r="F180" s="3"/>
      <c r="G180" s="3"/>
      <c r="H180" s="3"/>
      <c r="I180" s="3"/>
      <c r="J180" s="2"/>
      <c r="K180" s="2"/>
      <c r="Z180" s="1"/>
    </row>
    <row r="181" spans="4:26" x14ac:dyDescent="0.35">
      <c r="D181" s="2"/>
      <c r="E181" s="3"/>
      <c r="F181" s="3"/>
      <c r="G181" s="3"/>
      <c r="H181" s="3"/>
      <c r="I181" s="3"/>
      <c r="J181" s="2"/>
      <c r="K181" s="2"/>
      <c r="Z181" s="1"/>
    </row>
    <row r="182" spans="4:26" x14ac:dyDescent="0.35">
      <c r="D182" s="2"/>
      <c r="E182" s="3"/>
      <c r="F182" s="3"/>
      <c r="G182" s="3"/>
      <c r="H182" s="3"/>
      <c r="I182" s="3"/>
      <c r="J182" s="2"/>
      <c r="K182" s="2"/>
      <c r="Z182" s="1"/>
    </row>
    <row r="183" spans="4:26" x14ac:dyDescent="0.35">
      <c r="D183" s="2"/>
      <c r="E183" s="3"/>
      <c r="F183" s="3"/>
      <c r="G183" s="3"/>
      <c r="H183" s="3"/>
      <c r="I183" s="3"/>
      <c r="J183" s="2"/>
      <c r="K183" s="2"/>
      <c r="Z183" s="1"/>
    </row>
    <row r="184" spans="4:26" x14ac:dyDescent="0.35">
      <c r="D184" s="2"/>
      <c r="E184" s="3"/>
      <c r="F184" s="3"/>
      <c r="G184" s="3"/>
      <c r="H184" s="3"/>
      <c r="I184" s="3"/>
      <c r="J184" s="2"/>
      <c r="K184" s="2"/>
      <c r="Z184" s="1"/>
    </row>
    <row r="185" spans="4:26" x14ac:dyDescent="0.35">
      <c r="D185" s="2"/>
      <c r="E185" s="3"/>
      <c r="F185" s="3"/>
      <c r="G185" s="3"/>
      <c r="H185" s="3"/>
      <c r="I185" s="3"/>
      <c r="J185" s="2"/>
      <c r="K185" s="2"/>
      <c r="Z185" s="1"/>
    </row>
    <row r="186" spans="4:26" x14ac:dyDescent="0.35">
      <c r="D186" s="2"/>
      <c r="E186" s="3"/>
      <c r="F186" s="3"/>
      <c r="G186" s="3"/>
      <c r="H186" s="3"/>
      <c r="I186" s="3"/>
      <c r="J186" s="2"/>
      <c r="K186" s="2"/>
      <c r="Z186" s="1"/>
    </row>
    <row r="187" spans="4:26" x14ac:dyDescent="0.35">
      <c r="D187" s="2"/>
      <c r="E187" s="3"/>
      <c r="F187" s="3"/>
      <c r="G187" s="3"/>
      <c r="H187" s="3"/>
      <c r="I187" s="3"/>
      <c r="J187" s="2"/>
      <c r="K187" s="2"/>
      <c r="Z187" s="1"/>
    </row>
    <row r="188" spans="4:26" x14ac:dyDescent="0.35">
      <c r="D188" s="2"/>
      <c r="E188" s="3"/>
      <c r="F188" s="3"/>
      <c r="G188" s="3"/>
      <c r="H188" s="3"/>
      <c r="I188" s="3"/>
      <c r="J188" s="2"/>
      <c r="K188" s="2"/>
      <c r="Z188" s="1"/>
    </row>
    <row r="189" spans="4:26" x14ac:dyDescent="0.35">
      <c r="D189" s="2"/>
      <c r="E189" s="3"/>
      <c r="F189" s="3"/>
      <c r="G189" s="3"/>
      <c r="H189" s="3"/>
      <c r="I189" s="3"/>
      <c r="J189" s="2"/>
      <c r="K189" s="2"/>
      <c r="Z189" s="1"/>
    </row>
    <row r="190" spans="4:26" x14ac:dyDescent="0.35">
      <c r="D190" s="2"/>
      <c r="E190" s="3"/>
      <c r="F190" s="3"/>
      <c r="G190" s="3"/>
      <c r="H190" s="3"/>
      <c r="I190" s="3"/>
      <c r="J190" s="2"/>
      <c r="K190" s="2"/>
      <c r="Z190" s="1"/>
    </row>
    <row r="191" spans="4:26" x14ac:dyDescent="0.35">
      <c r="D191" s="2"/>
      <c r="E191" s="3"/>
      <c r="F191" s="3"/>
      <c r="G191" s="3"/>
      <c r="H191" s="3"/>
      <c r="I191" s="3"/>
      <c r="J191" s="2"/>
      <c r="K191" s="2"/>
      <c r="Z191" s="1"/>
    </row>
    <row r="192" spans="4:26" x14ac:dyDescent="0.35">
      <c r="D192" s="2"/>
      <c r="E192" s="3"/>
      <c r="F192" s="3"/>
      <c r="G192" s="3"/>
      <c r="H192" s="3"/>
      <c r="I192" s="3"/>
      <c r="J192" s="2"/>
      <c r="K192" s="2"/>
      <c r="Z192" s="1"/>
    </row>
    <row r="193" spans="4:26" x14ac:dyDescent="0.35">
      <c r="D193" s="2"/>
      <c r="E193" s="3"/>
      <c r="F193" s="3"/>
      <c r="G193" s="3"/>
      <c r="H193" s="3"/>
      <c r="I193" s="3"/>
      <c r="J193" s="2"/>
      <c r="K193" s="2"/>
      <c r="Z193" s="1"/>
    </row>
    <row r="194" spans="4:26" x14ac:dyDescent="0.35">
      <c r="D194" s="2"/>
      <c r="E194" s="2"/>
      <c r="F194" s="2"/>
      <c r="G194" s="2"/>
      <c r="H194" s="3"/>
      <c r="I194" s="2"/>
      <c r="J194" s="2"/>
      <c r="K194" s="2"/>
      <c r="Z194" s="1"/>
    </row>
    <row r="195" spans="4:26" x14ac:dyDescent="0.35">
      <c r="D195" s="2"/>
      <c r="E195" s="2"/>
      <c r="F195" s="2"/>
      <c r="G195" s="2"/>
      <c r="H195" s="3"/>
      <c r="I195" s="2"/>
      <c r="J195" s="2"/>
      <c r="K195" s="2"/>
      <c r="Z195" s="1"/>
    </row>
    <row r="196" spans="4:26" x14ac:dyDescent="0.35">
      <c r="D196" s="2"/>
      <c r="E196" s="2"/>
      <c r="F196" s="2"/>
      <c r="G196" s="2"/>
      <c r="H196" s="3"/>
      <c r="I196" s="2"/>
      <c r="J196" s="2"/>
      <c r="K196" s="2"/>
      <c r="Z196" s="1"/>
    </row>
    <row r="197" spans="4:26" x14ac:dyDescent="0.35">
      <c r="D197" s="2"/>
      <c r="E197" s="2"/>
      <c r="F197" s="2"/>
      <c r="G197" s="2"/>
      <c r="H197" s="3"/>
      <c r="I197" s="2"/>
      <c r="J197" s="2"/>
      <c r="K197" s="2"/>
      <c r="Z197" s="1"/>
    </row>
    <row r="198" spans="4:26" x14ac:dyDescent="0.35">
      <c r="D198" s="2"/>
      <c r="E198" s="2"/>
      <c r="F198" s="2"/>
      <c r="G198" s="2"/>
      <c r="H198" s="3"/>
      <c r="I198" s="2"/>
      <c r="J198" s="2"/>
      <c r="K198" s="2"/>
      <c r="Z198" s="1"/>
    </row>
    <row r="199" spans="4:26" x14ac:dyDescent="0.35">
      <c r="D199" s="2"/>
      <c r="E199" s="2"/>
      <c r="F199" s="2"/>
      <c r="G199" s="2"/>
      <c r="H199" s="3"/>
      <c r="I199" s="2"/>
      <c r="J199" s="2"/>
      <c r="K199" s="2"/>
      <c r="Z199" s="1"/>
    </row>
    <row r="200" spans="4:26" x14ac:dyDescent="0.35">
      <c r="Z200" s="1"/>
    </row>
    <row r="201" spans="4:26" x14ac:dyDescent="0.35">
      <c r="Z201" s="1"/>
    </row>
    <row r="202" spans="4:26" x14ac:dyDescent="0.35">
      <c r="Z202" s="1"/>
    </row>
    <row r="203" spans="4:26" x14ac:dyDescent="0.35">
      <c r="Z203" s="1"/>
    </row>
    <row r="204" spans="4:26" x14ac:dyDescent="0.35">
      <c r="Z204" s="1"/>
    </row>
    <row r="205" spans="4:26" x14ac:dyDescent="0.35">
      <c r="Z205" s="1"/>
    </row>
    <row r="206" spans="4:26" x14ac:dyDescent="0.35">
      <c r="Z206" s="1"/>
    </row>
    <row r="207" spans="4:26" x14ac:dyDescent="0.35">
      <c r="Z207" s="1"/>
    </row>
    <row r="208" spans="4:26" x14ac:dyDescent="0.35">
      <c r="Z208" s="1"/>
    </row>
    <row r="209" spans="26:26" x14ac:dyDescent="0.35">
      <c r="Z209" s="1"/>
    </row>
    <row r="210" spans="26:26" x14ac:dyDescent="0.35">
      <c r="Z210" s="1"/>
    </row>
    <row r="211" spans="26:26" ht="12.75" customHeight="1" x14ac:dyDescent="0.35">
      <c r="Z211" s="1"/>
    </row>
    <row r="212" spans="26:26" x14ac:dyDescent="0.35">
      <c r="Z212" s="1"/>
    </row>
    <row r="213" spans="26:26" x14ac:dyDescent="0.35">
      <c r="Z213" s="1"/>
    </row>
    <row r="214" spans="26:26" x14ac:dyDescent="0.35">
      <c r="Z214" s="1"/>
    </row>
    <row r="215" spans="26:26" x14ac:dyDescent="0.35">
      <c r="Z215" s="1"/>
    </row>
    <row r="216" spans="26:26" x14ac:dyDescent="0.35">
      <c r="Z216" s="1"/>
    </row>
    <row r="217" spans="26:26" x14ac:dyDescent="0.35">
      <c r="Z217" s="1"/>
    </row>
    <row r="218" spans="26:26" x14ac:dyDescent="0.35">
      <c r="Z218" s="1"/>
    </row>
    <row r="219" spans="26:26" x14ac:dyDescent="0.35">
      <c r="Z219" s="1"/>
    </row>
    <row r="220" spans="26:26" x14ac:dyDescent="0.35">
      <c r="Z220" s="1"/>
    </row>
    <row r="221" spans="26:26" x14ac:dyDescent="0.35">
      <c r="Z221" s="1"/>
    </row>
    <row r="222" spans="26:26" x14ac:dyDescent="0.35">
      <c r="Z222" s="1"/>
    </row>
    <row r="223" spans="26:26" x14ac:dyDescent="0.35">
      <c r="Z223" s="1"/>
    </row>
    <row r="224" spans="26:26" x14ac:dyDescent="0.35">
      <c r="Z224" s="1"/>
    </row>
    <row r="225" spans="26:26" x14ac:dyDescent="0.35">
      <c r="Z225" s="1"/>
    </row>
    <row r="226" spans="26:26" x14ac:dyDescent="0.35">
      <c r="Z226" s="1"/>
    </row>
    <row r="227" spans="26:26" x14ac:dyDescent="0.35">
      <c r="Z227" s="1"/>
    </row>
    <row r="228" spans="26:26" x14ac:dyDescent="0.35">
      <c r="Z228" s="1"/>
    </row>
    <row r="229" spans="26:26" x14ac:dyDescent="0.35">
      <c r="Z229" s="1"/>
    </row>
    <row r="230" spans="26:26" x14ac:dyDescent="0.35">
      <c r="Z230" s="1"/>
    </row>
    <row r="231" spans="26:26" x14ac:dyDescent="0.35">
      <c r="Z231" s="1"/>
    </row>
    <row r="232" spans="26:26" x14ac:dyDescent="0.35">
      <c r="Z232" s="1"/>
    </row>
    <row r="233" spans="26:26" x14ac:dyDescent="0.35">
      <c r="Z233" s="1"/>
    </row>
    <row r="234" spans="26:26" x14ac:dyDescent="0.35">
      <c r="Z234" s="1"/>
    </row>
    <row r="235" spans="26:26" x14ac:dyDescent="0.35">
      <c r="Z235" s="1"/>
    </row>
    <row r="236" spans="26:26" x14ac:dyDescent="0.35">
      <c r="Z236" s="1"/>
    </row>
    <row r="237" spans="26:26" x14ac:dyDescent="0.35">
      <c r="Z237" s="1"/>
    </row>
    <row r="238" spans="26:26" x14ac:dyDescent="0.35">
      <c r="Z238" s="1"/>
    </row>
    <row r="239" spans="26:26" x14ac:dyDescent="0.35">
      <c r="Z239" s="1"/>
    </row>
    <row r="240" spans="26:26" x14ac:dyDescent="0.35">
      <c r="Z240" s="1"/>
    </row>
    <row r="241" spans="26:26" x14ac:dyDescent="0.35">
      <c r="Z241" s="1"/>
    </row>
    <row r="242" spans="26:26" x14ac:dyDescent="0.35">
      <c r="Z242" s="1"/>
    </row>
    <row r="243" spans="26:26" x14ac:dyDescent="0.35">
      <c r="Z243" s="1"/>
    </row>
    <row r="244" spans="26:26" x14ac:dyDescent="0.35">
      <c r="Z244" s="1"/>
    </row>
    <row r="245" spans="26:26" x14ac:dyDescent="0.35">
      <c r="Z245" s="1"/>
    </row>
    <row r="246" spans="26:26" x14ac:dyDescent="0.35">
      <c r="Z246" s="1"/>
    </row>
    <row r="247" spans="26:26" x14ac:dyDescent="0.35">
      <c r="Z247" s="1"/>
    </row>
    <row r="248" spans="26:26" x14ac:dyDescent="0.35">
      <c r="Z248" s="1"/>
    </row>
    <row r="249" spans="26:26" x14ac:dyDescent="0.35">
      <c r="Z249" s="1"/>
    </row>
    <row r="250" spans="26:26" x14ac:dyDescent="0.35">
      <c r="Z250" s="1"/>
    </row>
    <row r="251" spans="26:26" x14ac:dyDescent="0.35">
      <c r="Z251" s="1"/>
    </row>
    <row r="252" spans="26:26" x14ac:dyDescent="0.35">
      <c r="Z252" s="1"/>
    </row>
    <row r="253" spans="26:26" x14ac:dyDescent="0.35">
      <c r="Z253" s="1"/>
    </row>
    <row r="254" spans="26:26" x14ac:dyDescent="0.35">
      <c r="Z254" s="1"/>
    </row>
    <row r="255" spans="26:26" x14ac:dyDescent="0.35">
      <c r="Z255" s="1"/>
    </row>
    <row r="256" spans="26:26" x14ac:dyDescent="0.35">
      <c r="Z256" s="1"/>
    </row>
    <row r="257" spans="26:26" x14ac:dyDescent="0.35">
      <c r="Z257" s="1"/>
    </row>
    <row r="258" spans="26:26" x14ac:dyDescent="0.35">
      <c r="Z258" s="1"/>
    </row>
    <row r="259" spans="26:26" x14ac:dyDescent="0.35">
      <c r="Z259" s="1"/>
    </row>
    <row r="260" spans="26:26" x14ac:dyDescent="0.35">
      <c r="Z260" s="1"/>
    </row>
    <row r="261" spans="26:26" x14ac:dyDescent="0.35">
      <c r="Z261" s="1"/>
    </row>
    <row r="262" spans="26:26" x14ac:dyDescent="0.35">
      <c r="Z262" s="1"/>
    </row>
    <row r="263" spans="26:26" x14ac:dyDescent="0.35">
      <c r="Z263" s="1"/>
    </row>
  </sheetData>
  <dataConsolidate/>
  <mergeCells count="3">
    <mergeCell ref="B3:L3"/>
    <mergeCell ref="N3:X3"/>
    <mergeCell ref="Z3:AJ3"/>
  </mergeCells>
  <dataValidations disablePrompts="1" count="1">
    <dataValidation type="list" allowBlank="1" showInputMessage="1" showErrorMessage="1" sqref="B1:B2" xr:uid="{00000000-0002-0000-0200-000000000000}">
      <formula1>HistoryDates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255C4-597D-42B0-B63B-AC8729E9E3F8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Historical Returns</vt:lpstr>
      <vt:lpstr>Sheet1</vt:lpstr>
      <vt:lpstr>AssetClasses</vt:lpstr>
      <vt:lpstr>HistoryDates</vt:lpstr>
      <vt:lpstr>ReturnFromData</vt:lpstr>
      <vt:lpstr>ReturnToData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Geninson</dc:creator>
  <cp:lastModifiedBy>Igor Geninson</cp:lastModifiedBy>
  <dcterms:created xsi:type="dcterms:W3CDTF">2024-09-29T05:12:57Z</dcterms:created>
  <dcterms:modified xsi:type="dcterms:W3CDTF">2025-10-10T01:56:39Z</dcterms:modified>
</cp:coreProperties>
</file>